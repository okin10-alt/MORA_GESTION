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ropbox\PRESUPUESTOS\MORA PRESUPUESTOS\2026\02-2026\02-2026 xlxs\"/>
    </mc:Choice>
  </mc:AlternateContent>
  <xr:revisionPtr revIDLastSave="0" documentId="13_ncr:1_{17D8ADB5-1D79-46E2-B21C-A77D9F4A7079}" xr6:coauthVersionLast="47" xr6:coauthVersionMax="47" xr10:uidLastSave="{00000000-0000-0000-0000-000000000000}"/>
  <bookViews>
    <workbookView xWindow="-120" yWindow="-120" windowWidth="29040" windowHeight="15840" tabRatio="893" activeTab="1" xr2:uid="{00000000-000D-0000-FFFF-FFFF00000000}"/>
  </bookViews>
  <sheets>
    <sheet name="Presentacion" sheetId="46" r:id="rId1"/>
    <sheet name="FACTURA B" sheetId="5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46" l="1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C10" i="46"/>
  <c r="C11" i="46"/>
  <c r="C12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C28" i="46"/>
  <c r="C29" i="46"/>
  <c r="C30" i="46"/>
  <c r="B13" i="46" l="1"/>
  <c r="B11" i="46"/>
  <c r="A5" i="46"/>
  <c r="A14" i="46" l="1"/>
  <c r="A11" i="46"/>
  <c r="A12" i="46"/>
  <c r="A13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A4" i="46"/>
  <c r="D13" i="53" l="1"/>
  <c r="D12" i="53"/>
  <c r="D11" i="53"/>
  <c r="D31" i="46"/>
  <c r="D10" i="53"/>
  <c r="A3" i="46"/>
  <c r="A2" i="46"/>
  <c r="A1" i="46"/>
  <c r="C32" i="46"/>
  <c r="D32" i="46"/>
  <c r="D33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B30" i="46"/>
  <c r="B29" i="46"/>
  <c r="B28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2" i="46"/>
  <c r="B10" i="46"/>
  <c r="A10" i="46"/>
  <c r="C31" i="53"/>
  <c r="Z30" i="53"/>
  <c r="X30" i="53"/>
  <c r="Y30" i="53" s="1"/>
  <c r="AA30" i="53" s="1"/>
  <c r="AG30" i="53" s="1"/>
  <c r="D30" i="53"/>
  <c r="Z29" i="53"/>
  <c r="X29" i="53"/>
  <c r="Y29" i="53" s="1"/>
  <c r="D29" i="53"/>
  <c r="Z28" i="53"/>
  <c r="X28" i="53"/>
  <c r="Y28" i="53" s="1"/>
  <c r="AA28" i="53" s="1"/>
  <c r="AG28" i="53" s="1"/>
  <c r="D28" i="53"/>
  <c r="Z27" i="53"/>
  <c r="X27" i="53"/>
  <c r="Y27" i="53" s="1"/>
  <c r="D27" i="53"/>
  <c r="Z26" i="53"/>
  <c r="X26" i="53"/>
  <c r="Y26" i="53" s="1"/>
  <c r="D26" i="53"/>
  <c r="Z25" i="53"/>
  <c r="X25" i="53"/>
  <c r="Y25" i="53" s="1"/>
  <c r="D25" i="53"/>
  <c r="Z24" i="53"/>
  <c r="X24" i="53"/>
  <c r="Y24" i="53" s="1"/>
  <c r="D24" i="53"/>
  <c r="Z23" i="53"/>
  <c r="X23" i="53"/>
  <c r="Y23" i="53" s="1"/>
  <c r="D23" i="53"/>
  <c r="Z22" i="53"/>
  <c r="X22" i="53"/>
  <c r="Y22" i="53" s="1"/>
  <c r="D22" i="53"/>
  <c r="Z21" i="53"/>
  <c r="X21" i="53"/>
  <c r="Y21" i="53" s="1"/>
  <c r="D21" i="53"/>
  <c r="Z20" i="53"/>
  <c r="X20" i="53"/>
  <c r="Y20" i="53" s="1"/>
  <c r="D20" i="53"/>
  <c r="Z19" i="53"/>
  <c r="X19" i="53"/>
  <c r="Y19" i="53" s="1"/>
  <c r="D19" i="53"/>
  <c r="Z18" i="53"/>
  <c r="X18" i="53"/>
  <c r="Y18" i="53" s="1"/>
  <c r="D18" i="53"/>
  <c r="Z17" i="53"/>
  <c r="X17" i="53"/>
  <c r="Y17" i="53" s="1"/>
  <c r="D17" i="53"/>
  <c r="Z16" i="53"/>
  <c r="X16" i="53"/>
  <c r="Y16" i="53" s="1"/>
  <c r="D16" i="53"/>
  <c r="Z15" i="53"/>
  <c r="X15" i="53"/>
  <c r="Y15" i="53" s="1"/>
  <c r="D15" i="53"/>
  <c r="Z14" i="53"/>
  <c r="X14" i="53"/>
  <c r="Y14" i="53" s="1"/>
  <c r="D14" i="53"/>
  <c r="Z13" i="53"/>
  <c r="X13" i="53"/>
  <c r="Y13" i="53" s="1"/>
  <c r="Z12" i="53"/>
  <c r="X12" i="53"/>
  <c r="Y12" i="53" s="1"/>
  <c r="Z11" i="53"/>
  <c r="X11" i="53"/>
  <c r="Y11" i="53" s="1"/>
  <c r="Z10" i="53"/>
  <c r="X10" i="53"/>
  <c r="Y10" i="53" s="1"/>
  <c r="AA20" i="53" l="1"/>
  <c r="AG20" i="53" s="1"/>
  <c r="AA25" i="53"/>
  <c r="AG25" i="53" s="1"/>
  <c r="AA24" i="53"/>
  <c r="AG24" i="53" s="1"/>
  <c r="AA22" i="53"/>
  <c r="AG22" i="53" s="1"/>
  <c r="AA18" i="53"/>
  <c r="AG18" i="53" s="1"/>
  <c r="AA17" i="53"/>
  <c r="AG17" i="53" s="1"/>
  <c r="AA16" i="53"/>
  <c r="AG16" i="53" s="1"/>
  <c r="AA11" i="53"/>
  <c r="AG11" i="53" s="1"/>
  <c r="AA10" i="53"/>
  <c r="AG10" i="53" s="1"/>
  <c r="AA19" i="53"/>
  <c r="AG19" i="53" s="1"/>
  <c r="AA27" i="53"/>
  <c r="AG27" i="53" s="1"/>
  <c r="AA12" i="53"/>
  <c r="AG12" i="53" s="1"/>
  <c r="AA23" i="53"/>
  <c r="AG23" i="53" s="1"/>
  <c r="AA26" i="53"/>
  <c r="AG26" i="53" s="1"/>
  <c r="AA21" i="53"/>
  <c r="AG21" i="53" s="1"/>
  <c r="AA29" i="53"/>
  <c r="AG29" i="53" s="1"/>
  <c r="AA13" i="53"/>
  <c r="AG13" i="53" s="1"/>
  <c r="AA15" i="53"/>
  <c r="AG15" i="53" s="1"/>
  <c r="AA14" i="53"/>
  <c r="AG14" i="53" s="1"/>
  <c r="D31" i="53"/>
  <c r="L10" i="53"/>
  <c r="N10" i="53" s="1"/>
  <c r="I10" i="53"/>
  <c r="G10" i="53"/>
  <c r="E10" i="53"/>
  <c r="L11" i="53"/>
  <c r="I11" i="53"/>
  <c r="G11" i="53"/>
  <c r="E11" i="53"/>
  <c r="L12" i="53"/>
  <c r="I12" i="53"/>
  <c r="G12" i="53"/>
  <c r="E12" i="53"/>
  <c r="L13" i="53"/>
  <c r="I13" i="53"/>
  <c r="G13" i="53"/>
  <c r="E13" i="53"/>
  <c r="L14" i="53"/>
  <c r="I14" i="53"/>
  <c r="G14" i="53"/>
  <c r="E14" i="53"/>
  <c r="L15" i="53"/>
  <c r="I15" i="53"/>
  <c r="G15" i="53"/>
  <c r="E15" i="53"/>
  <c r="L16" i="53"/>
  <c r="I16" i="53"/>
  <c r="G16" i="53"/>
  <c r="E16" i="53"/>
  <c r="L17" i="53"/>
  <c r="I17" i="53"/>
  <c r="G17" i="53"/>
  <c r="E17" i="53"/>
  <c r="L18" i="53"/>
  <c r="I18" i="53"/>
  <c r="G18" i="53"/>
  <c r="E18" i="53"/>
  <c r="L19" i="53"/>
  <c r="I19" i="53"/>
  <c r="G19" i="53"/>
  <c r="E19" i="53"/>
  <c r="L20" i="53"/>
  <c r="I20" i="53"/>
  <c r="G20" i="53"/>
  <c r="E20" i="53"/>
  <c r="L21" i="53"/>
  <c r="I21" i="53"/>
  <c r="G21" i="53"/>
  <c r="E21" i="53"/>
  <c r="L22" i="53"/>
  <c r="I22" i="53"/>
  <c r="G22" i="53"/>
  <c r="E22" i="53"/>
  <c r="L23" i="53"/>
  <c r="I23" i="53"/>
  <c r="G23" i="53"/>
  <c r="E23" i="53"/>
  <c r="L24" i="53"/>
  <c r="I24" i="53"/>
  <c r="G24" i="53"/>
  <c r="E24" i="53"/>
  <c r="L25" i="53"/>
  <c r="I25" i="53"/>
  <c r="G25" i="53"/>
  <c r="E25" i="53"/>
  <c r="L26" i="53"/>
  <c r="I26" i="53"/>
  <c r="G26" i="53"/>
  <c r="E26" i="53"/>
  <c r="L27" i="53"/>
  <c r="I27" i="53"/>
  <c r="G27" i="53"/>
  <c r="E27" i="53"/>
  <c r="L28" i="53"/>
  <c r="I28" i="53"/>
  <c r="G28" i="53"/>
  <c r="E28" i="53"/>
  <c r="L29" i="53"/>
  <c r="I29" i="53"/>
  <c r="G29" i="53"/>
  <c r="E29" i="53"/>
  <c r="L30" i="53"/>
  <c r="I30" i="53"/>
  <c r="G30" i="53"/>
  <c r="E30" i="53"/>
  <c r="J30" i="53" l="1"/>
  <c r="K30" i="53" s="1"/>
  <c r="AF30" i="53" s="1"/>
  <c r="N30" i="53"/>
  <c r="J29" i="53"/>
  <c r="K29" i="53" s="1"/>
  <c r="AF29" i="53" s="1"/>
  <c r="N29" i="53"/>
  <c r="O29" i="53" s="1"/>
  <c r="J28" i="53"/>
  <c r="K28" i="53" s="1"/>
  <c r="AF28" i="53" s="1"/>
  <c r="N28" i="53"/>
  <c r="J27" i="53"/>
  <c r="K27" i="53" s="1"/>
  <c r="AF27" i="53" s="1"/>
  <c r="N27" i="53"/>
  <c r="J26" i="53"/>
  <c r="K26" i="53" s="1"/>
  <c r="AF26" i="53" s="1"/>
  <c r="N26" i="53"/>
  <c r="J25" i="53"/>
  <c r="K25" i="53" s="1"/>
  <c r="AF25" i="53" s="1"/>
  <c r="N25" i="53"/>
  <c r="J24" i="53"/>
  <c r="K24" i="53" s="1"/>
  <c r="AF24" i="53" s="1"/>
  <c r="N24" i="53"/>
  <c r="J23" i="53"/>
  <c r="K23" i="53" s="1"/>
  <c r="AF23" i="53" s="1"/>
  <c r="N23" i="53"/>
  <c r="J22" i="53"/>
  <c r="K22" i="53" s="1"/>
  <c r="AF22" i="53" s="1"/>
  <c r="N22" i="53"/>
  <c r="J21" i="53"/>
  <c r="K21" i="53" s="1"/>
  <c r="AF21" i="53" s="1"/>
  <c r="N21" i="53"/>
  <c r="J20" i="53"/>
  <c r="K20" i="53" s="1"/>
  <c r="AF20" i="53" s="1"/>
  <c r="N20" i="53"/>
  <c r="J19" i="53"/>
  <c r="K19" i="53" s="1"/>
  <c r="AF19" i="53" s="1"/>
  <c r="N19" i="53"/>
  <c r="J18" i="53"/>
  <c r="K18" i="53" s="1"/>
  <c r="AF18" i="53" s="1"/>
  <c r="N18" i="53"/>
  <c r="J17" i="53"/>
  <c r="K17" i="53" s="1"/>
  <c r="AF17" i="53" s="1"/>
  <c r="N17" i="53"/>
  <c r="J16" i="53"/>
  <c r="K16" i="53" s="1"/>
  <c r="AF16" i="53" s="1"/>
  <c r="N16" i="53"/>
  <c r="J15" i="53"/>
  <c r="K15" i="53" s="1"/>
  <c r="AF15" i="53" s="1"/>
  <c r="N15" i="53"/>
  <c r="O15" i="53" s="1"/>
  <c r="J14" i="53"/>
  <c r="K14" i="53" s="1"/>
  <c r="AF14" i="53" s="1"/>
  <c r="N14" i="53"/>
  <c r="O14" i="53" s="1"/>
  <c r="J13" i="53"/>
  <c r="K13" i="53" s="1"/>
  <c r="AF13" i="53" s="1"/>
  <c r="N13" i="53"/>
  <c r="J12" i="53"/>
  <c r="K12" i="53" s="1"/>
  <c r="AF12" i="53" s="1"/>
  <c r="N12" i="53"/>
  <c r="O12" i="53" s="1"/>
  <c r="J11" i="53"/>
  <c r="K11" i="53" s="1"/>
  <c r="AF11" i="53" s="1"/>
  <c r="N11" i="53"/>
  <c r="O11" i="53" s="1"/>
  <c r="E31" i="53"/>
  <c r="J10" i="53"/>
  <c r="L31" i="53"/>
  <c r="D34" i="53"/>
  <c r="N31" i="53" l="1"/>
  <c r="D35" i="53" s="1"/>
  <c r="AE10" i="53"/>
  <c r="O10" i="53"/>
  <c r="J31" i="53"/>
  <c r="H35" i="53" s="1"/>
  <c r="Q38" i="53" s="1"/>
  <c r="K10" i="53"/>
  <c r="S11" i="53"/>
  <c r="R11" i="53" s="1"/>
  <c r="AH11" i="53" s="1"/>
  <c r="S12" i="53"/>
  <c r="R12" i="53" s="1"/>
  <c r="AH12" i="53" s="1"/>
  <c r="AE13" i="53"/>
  <c r="O13" i="53"/>
  <c r="S14" i="53"/>
  <c r="R14" i="53" s="1"/>
  <c r="AH14" i="53" s="1"/>
  <c r="S15" i="53"/>
  <c r="R15" i="53" s="1"/>
  <c r="AH15" i="53" s="1"/>
  <c r="AE16" i="53"/>
  <c r="O16" i="53"/>
  <c r="AE17" i="53"/>
  <c r="O17" i="53"/>
  <c r="AE18" i="53"/>
  <c r="O18" i="53"/>
  <c r="AE19" i="53"/>
  <c r="O19" i="53"/>
  <c r="AE20" i="53"/>
  <c r="O20" i="53"/>
  <c r="AE21" i="53"/>
  <c r="O21" i="53"/>
  <c r="AE22" i="53"/>
  <c r="O22" i="53"/>
  <c r="AE23" i="53"/>
  <c r="O23" i="53"/>
  <c r="AE24" i="53"/>
  <c r="O24" i="53"/>
  <c r="AE25" i="53"/>
  <c r="O25" i="53"/>
  <c r="AE26" i="53"/>
  <c r="O26" i="53"/>
  <c r="AE27" i="53"/>
  <c r="O27" i="53"/>
  <c r="AE28" i="53"/>
  <c r="O28" i="53"/>
  <c r="S29" i="53"/>
  <c r="R29" i="53" s="1"/>
  <c r="AE30" i="53"/>
  <c r="O30" i="53"/>
  <c r="P29" i="53" l="1"/>
  <c r="U29" i="53" s="1"/>
  <c r="AH29" i="53"/>
  <c r="P15" i="53"/>
  <c r="P14" i="53"/>
  <c r="P12" i="53"/>
  <c r="P11" i="53"/>
  <c r="S30" i="53"/>
  <c r="R30" i="53" s="1"/>
  <c r="S28" i="53"/>
  <c r="R28" i="53" s="1"/>
  <c r="S27" i="53"/>
  <c r="R27" i="53" s="1"/>
  <c r="S26" i="53"/>
  <c r="R26" i="53" s="1"/>
  <c r="S25" i="53"/>
  <c r="R25" i="53" s="1"/>
  <c r="AH25" i="53" s="1"/>
  <c r="S24" i="53"/>
  <c r="R24" i="53" s="1"/>
  <c r="S23" i="53"/>
  <c r="R23" i="53" s="1"/>
  <c r="S22" i="53"/>
  <c r="R22" i="53" s="1"/>
  <c r="S21" i="53"/>
  <c r="R21" i="53" s="1"/>
  <c r="S20" i="53"/>
  <c r="R20" i="53" s="1"/>
  <c r="P20" i="53" s="1"/>
  <c r="S19" i="53"/>
  <c r="R19" i="53" s="1"/>
  <c r="S18" i="53"/>
  <c r="R18" i="53" s="1"/>
  <c r="AH18" i="53" s="1"/>
  <c r="S17" i="53"/>
  <c r="R17" i="53" s="1"/>
  <c r="S16" i="53"/>
  <c r="R16" i="53" s="1"/>
  <c r="AH16" i="53" s="1"/>
  <c r="S13" i="53"/>
  <c r="R13" i="53" s="1"/>
  <c r="AH13" i="53" s="1"/>
  <c r="K31" i="53"/>
  <c r="D36" i="53" s="1"/>
  <c r="AF10" i="53"/>
  <c r="I6" i="53"/>
  <c r="O31" i="53"/>
  <c r="S10" i="53"/>
  <c r="R10" i="53" s="1"/>
  <c r="AE31" i="53"/>
  <c r="AB29" i="53" l="1"/>
  <c r="AD29" i="53" s="1"/>
  <c r="W29" i="53"/>
  <c r="AH21" i="53"/>
  <c r="P21" i="53"/>
  <c r="U21" i="53" s="1"/>
  <c r="P22" i="53"/>
  <c r="U22" i="53" s="1"/>
  <c r="AH22" i="53"/>
  <c r="AH30" i="53"/>
  <c r="P30" i="53"/>
  <c r="U30" i="53" s="1"/>
  <c r="AH24" i="53"/>
  <c r="P24" i="53"/>
  <c r="U24" i="53" s="1"/>
  <c r="P17" i="53"/>
  <c r="U17" i="53" s="1"/>
  <c r="AH17" i="53"/>
  <c r="P23" i="53"/>
  <c r="U23" i="53" s="1"/>
  <c r="AH23" i="53"/>
  <c r="AH26" i="53"/>
  <c r="P26" i="53"/>
  <c r="U26" i="53" s="1"/>
  <c r="P28" i="53"/>
  <c r="U28" i="53" s="1"/>
  <c r="AH28" i="53"/>
  <c r="AH19" i="53"/>
  <c r="P19" i="53"/>
  <c r="U19" i="53" s="1"/>
  <c r="AH27" i="53"/>
  <c r="P27" i="53"/>
  <c r="P18" i="53"/>
  <c r="U18" i="53" s="1"/>
  <c r="P25" i="53"/>
  <c r="U25" i="53" s="1"/>
  <c r="AH20" i="53"/>
  <c r="P16" i="53"/>
  <c r="U16" i="53" s="1"/>
  <c r="U20" i="53"/>
  <c r="U27" i="53"/>
  <c r="U15" i="53"/>
  <c r="U14" i="53"/>
  <c r="U12" i="53"/>
  <c r="U11" i="53"/>
  <c r="P10" i="53"/>
  <c r="P13" i="53"/>
  <c r="R31" i="53"/>
  <c r="AH10" i="53"/>
  <c r="U10" i="53" l="1"/>
  <c r="AB27" i="53"/>
  <c r="AD27" i="53" s="1"/>
  <c r="W27" i="53"/>
  <c r="W19" i="53"/>
  <c r="AB20" i="53"/>
  <c r="AD20" i="53" s="1"/>
  <c r="AB19" i="53"/>
  <c r="AD19" i="53" s="1"/>
  <c r="W17" i="53"/>
  <c r="AB17" i="53"/>
  <c r="AD17" i="53" s="1"/>
  <c r="W16" i="53"/>
  <c r="AB16" i="53"/>
  <c r="AD16" i="53" s="1"/>
  <c r="W28" i="53"/>
  <c r="AB28" i="53"/>
  <c r="AD28" i="53" s="1"/>
  <c r="AB26" i="53"/>
  <c r="AD26" i="53" s="1"/>
  <c r="W26" i="53"/>
  <c r="AB25" i="53"/>
  <c r="AD25" i="53" s="1"/>
  <c r="W25" i="53"/>
  <c r="W24" i="53"/>
  <c r="AB24" i="53"/>
  <c r="AD24" i="53" s="1"/>
  <c r="W18" i="53"/>
  <c r="AB18" i="53"/>
  <c r="AD18" i="53" s="1"/>
  <c r="W23" i="53"/>
  <c r="AB22" i="53"/>
  <c r="AD22" i="53" s="1"/>
  <c r="W22" i="53"/>
  <c r="AB23" i="53"/>
  <c r="AD23" i="53" s="1"/>
  <c r="W30" i="53"/>
  <c r="E30" i="46" s="1"/>
  <c r="W21" i="53"/>
  <c r="AB30" i="53"/>
  <c r="AD30" i="53" s="1"/>
  <c r="AB21" i="53"/>
  <c r="AD21" i="53" s="1"/>
  <c r="W20" i="53"/>
  <c r="AB15" i="53"/>
  <c r="AD15" i="53" s="1"/>
  <c r="W15" i="53"/>
  <c r="AB14" i="53"/>
  <c r="AD14" i="53" s="1"/>
  <c r="W14" i="53"/>
  <c r="U13" i="53"/>
  <c r="W13" i="53" s="1"/>
  <c r="AB12" i="53"/>
  <c r="AD12" i="53" s="1"/>
  <c r="W12" i="53"/>
  <c r="AB11" i="53"/>
  <c r="AD11" i="53" s="1"/>
  <c r="W11" i="53"/>
  <c r="P31" i="53"/>
  <c r="D39" i="53"/>
  <c r="H34" i="53"/>
  <c r="H36" i="53" s="1"/>
  <c r="R32" i="53"/>
  <c r="AB10" i="53" l="1"/>
  <c r="AD10" i="53" s="1"/>
  <c r="W10" i="53"/>
  <c r="U5" i="53" s="1"/>
  <c r="AB13" i="53"/>
  <c r="AD13" i="53" s="1"/>
  <c r="U31" i="53"/>
  <c r="G39" i="53"/>
  <c r="H10" i="46" l="1"/>
  <c r="I10" i="46" s="1"/>
  <c r="V5" i="53"/>
  <c r="W5" i="53" s="1"/>
  <c r="W32" i="53"/>
  <c r="E31" i="46" l="1"/>
  <c r="W33" i="53"/>
  <c r="E32" i="46" s="1"/>
  <c r="K34" i="53"/>
  <c r="S31" i="53"/>
  <c r="W34" i="53" l="1"/>
  <c r="Q35" i="53" s="1"/>
  <c r="D37" i="53"/>
  <c r="D38" i="53" s="1"/>
  <c r="D40" i="53" s="1"/>
  <c r="S32" i="53"/>
  <c r="K35" i="53"/>
  <c r="E33" i="46" l="1"/>
  <c r="G33" i="46" s="1"/>
  <c r="N34" i="53"/>
  <c r="Q34" i="53"/>
  <c r="Q37" i="53" s="1"/>
  <c r="Q39" i="53" s="1"/>
  <c r="N35" i="53"/>
  <c r="K36" i="53"/>
  <c r="K39" i="53"/>
  <c r="N36" i="53" l="1"/>
  <c r="N37" i="53" s="1"/>
  <c r="K40" i="53"/>
  <c r="K37" i="53"/>
</calcChain>
</file>

<file path=xl/sharedStrings.xml><?xml version="1.0" encoding="utf-8"?>
<sst xmlns="http://schemas.openxmlformats.org/spreadsheetml/2006/main" count="82" uniqueCount="62">
  <si>
    <t>Producto</t>
  </si>
  <si>
    <t xml:space="preserve">seguro </t>
  </si>
  <si>
    <t xml:space="preserve">Total flete </t>
  </si>
  <si>
    <t xml:space="preserve">Margen </t>
  </si>
  <si>
    <t>cantidad</t>
  </si>
  <si>
    <t>total</t>
  </si>
  <si>
    <t>m3</t>
  </si>
  <si>
    <t>m3x2780</t>
  </si>
  <si>
    <t>seg xVD</t>
  </si>
  <si>
    <t>total flete con iva</t>
  </si>
  <si>
    <t>total Unit+IB</t>
  </si>
  <si>
    <t xml:space="preserve">margen total </t>
  </si>
  <si>
    <t>costos grales vd</t>
  </si>
  <si>
    <t>costos grales m3</t>
  </si>
  <si>
    <t>costos gral compra</t>
  </si>
  <si>
    <t>Margen %</t>
  </si>
  <si>
    <t>IVA  %</t>
  </si>
  <si>
    <t>Flete %</t>
  </si>
  <si>
    <t>Flete</t>
  </si>
  <si>
    <t>Seguro %</t>
  </si>
  <si>
    <t>IVA COMPRAS</t>
  </si>
  <si>
    <t>Total Unit</t>
  </si>
  <si>
    <t>FLETE</t>
  </si>
  <si>
    <t>IVA</t>
  </si>
  <si>
    <t>IIBB</t>
  </si>
  <si>
    <t>SUBTOTAL</t>
  </si>
  <si>
    <t>COMPRA</t>
  </si>
  <si>
    <t>MARGEN</t>
  </si>
  <si>
    <t>PRECIO NETO</t>
  </si>
  <si>
    <t>PRECIO FINAL</t>
  </si>
  <si>
    <t>COSTO</t>
  </si>
  <si>
    <t>VENTA</t>
  </si>
  <si>
    <t>GCIA</t>
  </si>
  <si>
    <t>EN %</t>
  </si>
  <si>
    <t>Precio de Venta</t>
  </si>
  <si>
    <t>porque hay 2 fletes?</t>
  </si>
  <si>
    <t>Sub Total</t>
  </si>
  <si>
    <t>UTILIDAD</t>
  </si>
  <si>
    <t>FACT A</t>
  </si>
  <si>
    <t>FACT B</t>
  </si>
  <si>
    <t>VTAS</t>
  </si>
  <si>
    <t>MORA</t>
  </si>
  <si>
    <t>INFORMAT</t>
  </si>
  <si>
    <t>ITEMS</t>
  </si>
  <si>
    <t>ROI</t>
  </si>
  <si>
    <t>DESCUENTO:</t>
  </si>
  <si>
    <t>Con Descuento:</t>
  </si>
  <si>
    <t>Importe Total:</t>
  </si>
  <si>
    <t>Cantidad</t>
  </si>
  <si>
    <t>IVA VENTAS</t>
  </si>
  <si>
    <t>IVA A PAGAR</t>
  </si>
  <si>
    <t>RAE</t>
  </si>
  <si>
    <t>Precio Unitario</t>
  </si>
  <si>
    <t>TOTAL PNG</t>
  </si>
  <si>
    <t>iva</t>
  </si>
  <si>
    <t>iibb</t>
  </si>
  <si>
    <t>Dto:</t>
  </si>
  <si>
    <t>MODELO FACTURA B</t>
  </si>
  <si>
    <t>C.U.I.T  30-00000000-0</t>
  </si>
  <si>
    <t>N° Presupuesto: P-4279</t>
  </si>
  <si>
    <t>Fecha:02/02/2026</t>
  </si>
  <si>
    <t xml:space="preserve">Contacto: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</si>
</sst>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* #,##0.00_-;\-&quot;$&quot;* #,##0.00_-;_-&quot;$&quot;* &quot;-&quot;??_-;_-@_-"/>
    <numFmt numFmtId="166" formatCode="&quot; &quot;#,##0.00&quot;   &quot;;&quot;-&quot;#,##0.00&quot;   &quot;;&quot; -&quot;00&quot;   &quot;;&quot; &quot;@&quot; &quot;"/>
    <numFmt numFmtId="167" formatCode="0.0%"/>
    <numFmt numFmtId="168" formatCode="_-&quot;$&quot;* #,##0.000_-;\-&quot;$&quot;* #,##0.000_-;_-&quot;$&quot;* &quot;-&quot;??_-;_-@_-"/>
    <numFmt numFmtId="169" formatCode="&quot; &quot;#,##0&quot;   &quot;;&quot;-&quot;#,##0&quot;   &quot;;&quot; -&quot;00&quot;   &quot;;&quot; &quot;@&quot; 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3366"/>
      <name val="Verdana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Work Sans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rgb="FFFFC000"/>
      </patternFill>
    </fill>
    <fill>
      <patternFill patternType="solid">
        <fgColor theme="4" tint="0.59999389629810485"/>
        <bgColor rgb="FFFFC000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FAFD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3">
    <xf numFmtId="0" fontId="0" fillId="0" borderId="0"/>
    <xf numFmtId="0" fontId="3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/>
    <xf numFmtId="0" fontId="14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44" fontId="0" fillId="0" borderId="0" xfId="3" applyFont="1" applyAlignment="1">
      <alignment horizontal="center"/>
    </xf>
    <xf numFmtId="167" fontId="0" fillId="0" borderId="1" xfId="4" applyNumberFormat="1" applyFont="1" applyBorder="1" applyAlignment="1">
      <alignment horizontal="center" wrapText="1"/>
    </xf>
    <xf numFmtId="167" fontId="0" fillId="0" borderId="0" xfId="4" applyNumberFormat="1" applyFont="1" applyAlignment="1">
      <alignment horizontal="center"/>
    </xf>
    <xf numFmtId="43" fontId="3" fillId="0" borderId="3" xfId="2" applyFont="1" applyBorder="1" applyAlignment="1">
      <alignment horizontal="center" wrapText="1"/>
    </xf>
    <xf numFmtId="166" fontId="0" fillId="7" borderId="1" xfId="0" applyNumberFormat="1" applyFill="1" applyBorder="1" applyAlignment="1">
      <alignment horizontal="center" wrapText="1"/>
    </xf>
    <xf numFmtId="166" fontId="0" fillId="7" borderId="5" xfId="0" applyNumberFormat="1" applyFill="1" applyBorder="1" applyAlignment="1">
      <alignment horizontal="center" wrapText="1"/>
    </xf>
    <xf numFmtId="166" fontId="2" fillId="8" borderId="1" xfId="0" applyNumberFormat="1" applyFont="1" applyFill="1" applyBorder="1" applyAlignment="1">
      <alignment horizontal="center" wrapText="1"/>
    </xf>
    <xf numFmtId="166" fontId="2" fillId="9" borderId="1" xfId="0" applyNumberFormat="1" applyFont="1" applyFill="1" applyBorder="1" applyAlignment="1">
      <alignment horizontal="center" wrapText="1"/>
    </xf>
    <xf numFmtId="43" fontId="0" fillId="0" borderId="1" xfId="2" applyFont="1" applyBorder="1" applyAlignment="1">
      <alignment horizontal="center" wrapText="1"/>
    </xf>
    <xf numFmtId="43" fontId="3" fillId="0" borderId="1" xfId="2" applyFont="1" applyBorder="1" applyAlignment="1">
      <alignment horizontal="center" wrapText="1"/>
    </xf>
    <xf numFmtId="43" fontId="0" fillId="0" borderId="0" xfId="2" applyFont="1" applyAlignment="1">
      <alignment horizontal="center"/>
    </xf>
    <xf numFmtId="43" fontId="0" fillId="0" borderId="0" xfId="2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44" fontId="0" fillId="0" borderId="6" xfId="3" applyFont="1" applyBorder="1" applyAlignment="1">
      <alignment horizontal="center"/>
    </xf>
    <xf numFmtId="9" fontId="0" fillId="0" borderId="0" xfId="4" applyFont="1" applyAlignment="1">
      <alignment horizontal="center"/>
    </xf>
    <xf numFmtId="0" fontId="0" fillId="0" borderId="0" xfId="0" applyAlignment="1">
      <alignment horizontal="left"/>
    </xf>
    <xf numFmtId="166" fontId="0" fillId="0" borderId="5" xfId="0" applyNumberFormat="1" applyBorder="1" applyAlignment="1">
      <alignment horizontal="center" wrapText="1"/>
    </xf>
    <xf numFmtId="0" fontId="0" fillId="0" borderId="7" xfId="0" applyBorder="1" applyAlignment="1">
      <alignment horizontal="center"/>
    </xf>
    <xf numFmtId="9" fontId="0" fillId="0" borderId="5" xfId="4" applyFont="1" applyBorder="1" applyAlignment="1">
      <alignment horizontal="center" wrapText="1"/>
    </xf>
    <xf numFmtId="167" fontId="0" fillId="0" borderId="5" xfId="4" applyNumberFormat="1" applyFont="1" applyBorder="1" applyAlignment="1">
      <alignment horizontal="center" wrapText="1"/>
    </xf>
    <xf numFmtId="166" fontId="1" fillId="6" borderId="5" xfId="0" applyNumberFormat="1" applyFont="1" applyFill="1" applyBorder="1" applyAlignment="1">
      <alignment horizontal="center" wrapText="1"/>
    </xf>
    <xf numFmtId="166" fontId="1" fillId="8" borderId="5" xfId="0" applyNumberFormat="1" applyFont="1" applyFill="1" applyBorder="1" applyAlignment="1">
      <alignment horizontal="center" wrapText="1"/>
    </xf>
    <xf numFmtId="166" fontId="2" fillId="8" borderId="5" xfId="0" applyNumberFormat="1" applyFont="1" applyFill="1" applyBorder="1" applyAlignment="1">
      <alignment horizontal="center" wrapText="1"/>
    </xf>
    <xf numFmtId="166" fontId="2" fillId="9" borderId="5" xfId="0" applyNumberFormat="1" applyFont="1" applyFill="1" applyBorder="1" applyAlignment="1">
      <alignment horizontal="center" wrapText="1"/>
    </xf>
    <xf numFmtId="43" fontId="0" fillId="0" borderId="5" xfId="2" applyFont="1" applyBorder="1" applyAlignment="1">
      <alignment horizontal="center" wrapText="1"/>
    </xf>
    <xf numFmtId="43" fontId="3" fillId="0" borderId="5" xfId="2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4" fontId="0" fillId="0" borderId="6" xfId="3" applyFont="1" applyFill="1" applyBorder="1" applyAlignment="1">
      <alignment horizontal="center"/>
    </xf>
    <xf numFmtId="9" fontId="8" fillId="0" borderId="0" xfId="4" applyFont="1" applyAlignment="1">
      <alignment horizontal="center"/>
    </xf>
    <xf numFmtId="44" fontId="8" fillId="0" borderId="0" xfId="3" applyFont="1" applyAlignment="1">
      <alignment horizontal="center"/>
    </xf>
    <xf numFmtId="168" fontId="0" fillId="0" borderId="0" xfId="0" applyNumberFormat="1" applyAlignment="1">
      <alignment horizontal="center"/>
    </xf>
    <xf numFmtId="9" fontId="2" fillId="2" borderId="14" xfId="4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9" fontId="2" fillId="2" borderId="15" xfId="4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/>
    </xf>
    <xf numFmtId="167" fontId="2" fillId="2" borderId="28" xfId="4" applyNumberFormat="1" applyFont="1" applyFill="1" applyBorder="1" applyAlignment="1">
      <alignment horizontal="center" vertical="center"/>
    </xf>
    <xf numFmtId="167" fontId="2" fillId="2" borderId="29" xfId="4" applyNumberFormat="1" applyFont="1" applyFill="1" applyBorder="1" applyAlignment="1">
      <alignment horizontal="center" vertical="center"/>
    </xf>
    <xf numFmtId="167" fontId="0" fillId="0" borderId="9" xfId="4" applyNumberFormat="1" applyFont="1" applyBorder="1" applyAlignment="1">
      <alignment horizontal="center" vertical="center" wrapText="1"/>
    </xf>
    <xf numFmtId="44" fontId="0" fillId="0" borderId="0" xfId="3" applyFont="1" applyAlignment="1">
      <alignment vertical="center"/>
    </xf>
    <xf numFmtId="44" fontId="0" fillId="0" borderId="4" xfId="3" applyFont="1" applyBorder="1" applyAlignment="1">
      <alignment vertical="center"/>
    </xf>
    <xf numFmtId="44" fontId="0" fillId="0" borderId="2" xfId="3" applyFont="1" applyFill="1" applyBorder="1" applyAlignment="1">
      <alignment vertical="center" wrapText="1"/>
    </xf>
    <xf numFmtId="9" fontId="0" fillId="0" borderId="4" xfId="4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4" fontId="8" fillId="0" borderId="33" xfId="3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33" xfId="0" applyFont="1" applyBorder="1" applyAlignment="1">
      <alignment horizontal="center" vertical="center"/>
    </xf>
    <xf numFmtId="165" fontId="8" fillId="0" borderId="33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/>
    </xf>
    <xf numFmtId="44" fontId="0" fillId="0" borderId="36" xfId="3" applyFont="1" applyFill="1" applyBorder="1" applyAlignment="1">
      <alignment horizontal="center"/>
    </xf>
    <xf numFmtId="0" fontId="8" fillId="0" borderId="35" xfId="0" applyFont="1" applyBorder="1" applyAlignment="1">
      <alignment horizontal="center" vertical="center"/>
    </xf>
    <xf numFmtId="44" fontId="0" fillId="10" borderId="35" xfId="3" applyFont="1" applyFill="1" applyBorder="1" applyAlignment="1">
      <alignment horizontal="center" vertical="center"/>
    </xf>
    <xf numFmtId="43" fontId="3" fillId="0" borderId="3" xfId="2" applyFont="1" applyBorder="1" applyAlignment="1">
      <alignment wrapText="1"/>
    </xf>
    <xf numFmtId="44" fontId="0" fillId="13" borderId="4" xfId="3" applyFont="1" applyFill="1" applyBorder="1" applyAlignment="1">
      <alignment vertical="center"/>
    </xf>
    <xf numFmtId="44" fontId="0" fillId="14" borderId="4" xfId="3" applyFont="1" applyFill="1" applyBorder="1" applyAlignment="1">
      <alignment vertical="center"/>
    </xf>
    <xf numFmtId="165" fontId="8" fillId="14" borderId="33" xfId="0" applyNumberFormat="1" applyFont="1" applyFill="1" applyBorder="1" applyAlignment="1">
      <alignment horizontal="center" vertical="center"/>
    </xf>
    <xf numFmtId="0" fontId="4" fillId="14" borderId="6" xfId="0" applyFont="1" applyFill="1" applyBorder="1"/>
    <xf numFmtId="0" fontId="4" fillId="13" borderId="0" xfId="0" applyFont="1" applyFill="1"/>
    <xf numFmtId="44" fontId="0" fillId="13" borderId="0" xfId="3" applyFont="1" applyFill="1" applyAlignment="1">
      <alignment horizontal="center"/>
    </xf>
    <xf numFmtId="44" fontId="8" fillId="13" borderId="34" xfId="3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44" fontId="0" fillId="11" borderId="0" xfId="3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44" fontId="8" fillId="0" borderId="38" xfId="3" applyFont="1" applyBorder="1" applyAlignment="1">
      <alignment vertical="center"/>
    </xf>
    <xf numFmtId="44" fontId="0" fillId="0" borderId="6" xfId="0" applyNumberFormat="1" applyBorder="1" applyAlignment="1">
      <alignment horizontal="center"/>
    </xf>
    <xf numFmtId="9" fontId="8" fillId="0" borderId="0" xfId="0" applyNumberFormat="1" applyFont="1" applyAlignment="1">
      <alignment horizontal="center"/>
    </xf>
    <xf numFmtId="44" fontId="8" fillId="0" borderId="34" xfId="3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8" fillId="0" borderId="43" xfId="0" applyFont="1" applyBorder="1" applyAlignment="1">
      <alignment vertical="center"/>
    </xf>
    <xf numFmtId="0" fontId="0" fillId="0" borderId="41" xfId="0" applyBorder="1"/>
    <xf numFmtId="43" fontId="3" fillId="13" borderId="3" xfId="2" applyFont="1" applyFill="1" applyBorder="1" applyAlignment="1">
      <alignment wrapText="1"/>
    </xf>
    <xf numFmtId="9" fontId="0" fillId="13" borderId="1" xfId="4" applyFont="1" applyFill="1" applyBorder="1" applyAlignment="1">
      <alignment horizontal="center" vertical="center" wrapText="1"/>
    </xf>
    <xf numFmtId="169" fontId="1" fillId="13" borderId="5" xfId="0" applyNumberFormat="1" applyFont="1" applyFill="1" applyBorder="1" applyAlignment="1">
      <alignment horizontal="center" wrapText="1"/>
    </xf>
    <xf numFmtId="44" fontId="0" fillId="0" borderId="0" xfId="0" applyNumberFormat="1" applyAlignment="1">
      <alignment horizontal="center"/>
    </xf>
    <xf numFmtId="44" fontId="0" fillId="0" borderId="7" xfId="3" applyFont="1" applyBorder="1" applyAlignment="1">
      <alignment horizontal="center"/>
    </xf>
    <xf numFmtId="44" fontId="0" fillId="0" borderId="0" xfId="3" applyFont="1" applyAlignment="1"/>
    <xf numFmtId="0" fontId="0" fillId="0" borderId="7" xfId="0" applyBorder="1" applyAlignment="1">
      <alignment wrapText="1"/>
    </xf>
    <xf numFmtId="0" fontId="0" fillId="0" borderId="7" xfId="0" applyBorder="1"/>
    <xf numFmtId="44" fontId="5" fillId="0" borderId="7" xfId="3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4" xfId="11" applyFont="1" applyBorder="1" applyAlignment="1">
      <alignment vertical="center" wrapText="1"/>
    </xf>
    <xf numFmtId="43" fontId="3" fillId="13" borderId="4" xfId="2" applyFont="1" applyFill="1" applyBorder="1" applyAlignment="1">
      <alignment wrapText="1"/>
    </xf>
    <xf numFmtId="4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 wrapText="1"/>
    </xf>
    <xf numFmtId="9" fontId="0" fillId="0" borderId="0" xfId="0" applyNumberFormat="1" applyAlignment="1">
      <alignment horizontal="center"/>
    </xf>
    <xf numFmtId="0" fontId="13" fillId="0" borderId="4" xfId="0" applyFont="1" applyBorder="1"/>
    <xf numFmtId="0" fontId="1" fillId="1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4" fontId="2" fillId="2" borderId="4" xfId="3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6" fontId="1" fillId="6" borderId="31" xfId="0" applyNumberFormat="1" applyFont="1" applyFill="1" applyBorder="1" applyAlignment="1">
      <alignment horizontal="center" wrapText="1"/>
    </xf>
    <xf numFmtId="166" fontId="1" fillId="6" borderId="32" xfId="0" applyNumberFormat="1" applyFont="1" applyFill="1" applyBorder="1" applyAlignment="1">
      <alignment horizontal="center" wrapText="1"/>
    </xf>
    <xf numFmtId="44" fontId="1" fillId="14" borderId="39" xfId="3" applyFont="1" applyFill="1" applyBorder="1" applyAlignment="1">
      <alignment vertical="center" wrapText="1"/>
    </xf>
    <xf numFmtId="44" fontId="1" fillId="14" borderId="40" xfId="3" applyFont="1" applyFill="1" applyBorder="1" applyAlignment="1">
      <alignment vertical="center" wrapText="1"/>
    </xf>
    <xf numFmtId="164" fontId="0" fillId="0" borderId="4" xfId="0" applyNumberFormat="1" applyBorder="1" applyAlignment="1">
      <alignment horizontal="center"/>
    </xf>
    <xf numFmtId="0" fontId="2" fillId="5" borderId="26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0" fillId="10" borderId="21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3" fillId="0" borderId="7" xfId="0" applyFont="1" applyBorder="1"/>
    <xf numFmtId="0" fontId="13" fillId="0" borderId="4" xfId="0" applyFont="1" applyBorder="1" applyAlignment="1">
      <alignment wrapText="1"/>
    </xf>
    <xf numFmtId="4" fontId="15" fillId="0" borderId="4" xfId="0" applyNumberFormat="1" applyFont="1" applyBorder="1" applyAlignment="1">
      <alignment vertical="center" wrapText="1"/>
    </xf>
    <xf numFmtId="0" fontId="1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2" fillId="0" borderId="4" xfId="12" applyFont="1" applyBorder="1" applyAlignment="1">
      <alignment wrapText="1"/>
    </xf>
    <xf numFmtId="0" fontId="11" fillId="15" borderId="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43" fontId="3" fillId="13" borderId="7" xfId="2" applyFont="1" applyFill="1" applyBorder="1" applyAlignment="1">
      <alignment wrapText="1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</cellXfs>
  <cellStyles count="23">
    <cellStyle name="Hipervínculo" xfId="11" builtinId="8"/>
    <cellStyle name="Millares" xfId="2" builtinId="3"/>
    <cellStyle name="Millares 2" xfId="7" xr:uid="{36C3030C-255B-48EA-82A0-0719F0669C4E}"/>
    <cellStyle name="Millares 2 2" xfId="10" xr:uid="{E4BFFD03-8D38-4E87-8342-28EFE020992A}"/>
    <cellStyle name="Millares 2 2 2" xfId="21" xr:uid="{6B0E6DC3-2BA2-42BD-9BE3-E8B00592AF47}"/>
    <cellStyle name="Millares 2 3" xfId="18" xr:uid="{AEF88B6D-2A1D-4B77-A4B2-32628BFC342F}"/>
    <cellStyle name="Millares 3" xfId="5" xr:uid="{D10FD9B9-04A5-45A1-AB2B-50F00F26BC98}"/>
    <cellStyle name="Millares 3 2" xfId="16" xr:uid="{0217D87D-2CA3-43FF-AF83-73DDC70A516F}"/>
    <cellStyle name="Millares 4" xfId="8" xr:uid="{967F44B1-5BC3-49A9-A597-03A75ADEC60E}"/>
    <cellStyle name="Millares 4 2" xfId="19" xr:uid="{33616A8A-FBEF-4FD6-BABD-5A32F7A55ED6}"/>
    <cellStyle name="Millares 5" xfId="14" xr:uid="{C084D201-9B3A-41DA-BA4B-EFD2DD7BA7F0}"/>
    <cellStyle name="Moneda" xfId="3" builtinId="4"/>
    <cellStyle name="Moneda 2" xfId="6" xr:uid="{C4A423D2-D085-4167-ABF0-C14588B64508}"/>
    <cellStyle name="Moneda 2 2" xfId="17" xr:uid="{8A70A936-2954-4219-AE7B-168567C01752}"/>
    <cellStyle name="Moneda 3" xfId="9" xr:uid="{C672184B-F785-456D-8E43-DAEC0806B07F}"/>
    <cellStyle name="Moneda 3 2" xfId="20" xr:uid="{4E20AA51-90A5-4D58-B0FE-02EF4B9B177A}"/>
    <cellStyle name="Moneda 4" xfId="15" xr:uid="{9E4CD78D-5619-496C-8C6E-79478607753B}"/>
    <cellStyle name="Normal" xfId="0" builtinId="0"/>
    <cellStyle name="Normal 2" xfId="1" xr:uid="{00000000-0005-0000-0000-000003000000}"/>
    <cellStyle name="Normal 3" xfId="12" xr:uid="{6ACDD7B7-4DD9-4195-AF30-CC11181A6F5F}"/>
    <cellStyle name="Normal 4" xfId="13" xr:uid="{4C509892-0DB1-4A0B-9844-C5B6BEE8C6BC}"/>
    <cellStyle name="Normal 4 2" xfId="22" xr:uid="{063DF234-D4A1-4B0F-9824-9EBA4F297D61}"/>
    <cellStyle name="Porcentaje" xfId="4" builtinId="5"/>
  </cellStyles>
  <dxfs count="0"/>
  <tableStyles count="0" defaultTableStyle="TableStyleMedium2" defaultPivotStyle="PivotStyleLight16"/>
  <colors>
    <mruColors>
      <color rgb="FF3366FF"/>
      <color rgb="FFF38D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zoomScaleNormal="100" workbookViewId="0">
      <selection activeCell="B24" sqref="B24"/>
    </sheetView>
  </sheetViews>
  <sheetFormatPr baseColWidth="10" defaultColWidth="11.42578125" defaultRowHeight="15" x14ac:dyDescent="0.25"/>
  <cols>
    <col min="1" max="1" width="6.42578125" style="1" customWidth="1"/>
    <col min="2" max="2" width="35.85546875" style="1" bestFit="1" customWidth="1"/>
    <col min="3" max="3" width="14.28515625" style="4" customWidth="1"/>
    <col min="4" max="4" width="16.5703125" style="1" customWidth="1"/>
    <col min="5" max="5" width="16.5703125" style="4" customWidth="1"/>
    <col min="6" max="6" width="11.42578125" style="1"/>
    <col min="7" max="7" width="13" style="1" bestFit="1" customWidth="1"/>
    <col min="8" max="8" width="12.42578125" style="1" bestFit="1" customWidth="1"/>
    <col min="9" max="9" width="14" style="1" bestFit="1" customWidth="1"/>
    <col min="10" max="10" width="11.42578125" style="1"/>
    <col min="11" max="11" width="12.42578125" style="1" bestFit="1" customWidth="1"/>
    <col min="12" max="16384" width="11.42578125" style="1"/>
  </cols>
  <sheetData>
    <row r="1" spans="1:11" ht="15.75" x14ac:dyDescent="0.25">
      <c r="A1" s="3" t="str">
        <f>'FACTURA B'!A1</f>
        <v>MODELO FACTURA B</v>
      </c>
    </row>
    <row r="2" spans="1:11" ht="15.75" x14ac:dyDescent="0.25">
      <c r="A2" s="3" t="str">
        <f>'FACTURA B'!A2</f>
        <v>C.U.I.T  30-00000000-0</v>
      </c>
    </row>
    <row r="3" spans="1:11" ht="15.75" x14ac:dyDescent="0.25">
      <c r="A3" s="3" t="str">
        <f>'FACTURA B'!A3</f>
        <v xml:space="preserve">Contacto: </v>
      </c>
    </row>
    <row r="4" spans="1:11" ht="15.75" x14ac:dyDescent="0.25">
      <c r="A4" s="3" t="str">
        <f>'FACTURA B'!A4</f>
        <v>Fecha:02/02/2026</v>
      </c>
    </row>
    <row r="5" spans="1:11" ht="15.75" x14ac:dyDescent="0.25">
      <c r="A5" s="3" t="str">
        <f>'FACTURA B'!A5</f>
        <v>N° Presupuesto: P-4279</v>
      </c>
    </row>
    <row r="7" spans="1:11" ht="15" customHeight="1" x14ac:dyDescent="0.25">
      <c r="A7" s="98" t="s">
        <v>43</v>
      </c>
      <c r="B7" s="99" t="s">
        <v>0</v>
      </c>
      <c r="C7" s="100" t="s">
        <v>52</v>
      </c>
      <c r="D7" s="101" t="s">
        <v>48</v>
      </c>
      <c r="E7" s="100" t="s">
        <v>34</v>
      </c>
    </row>
    <row r="8" spans="1:11" ht="15" customHeight="1" x14ac:dyDescent="0.25">
      <c r="A8" s="98"/>
      <c r="B8" s="99"/>
      <c r="C8" s="100"/>
      <c r="D8" s="101"/>
      <c r="E8" s="100"/>
    </row>
    <row r="9" spans="1:11" x14ac:dyDescent="0.25">
      <c r="A9" s="98"/>
      <c r="B9" s="99"/>
      <c r="C9" s="100"/>
      <c r="D9" s="101"/>
      <c r="E9" s="100"/>
    </row>
    <row r="10" spans="1:11" s="91" customFormat="1" ht="16.5" customHeight="1" x14ac:dyDescent="0.25">
      <c r="A10" s="90">
        <f>'FACTURA B'!A10</f>
        <v>1</v>
      </c>
      <c r="B10" s="87">
        <f>'FACTURA B'!B10</f>
        <v>0</v>
      </c>
      <c r="C10" s="89">
        <f>'FACTURA B'!U10</f>
        <v>0</v>
      </c>
      <c r="D10" s="90">
        <f>'FACTURA B'!V10</f>
        <v>1</v>
      </c>
      <c r="E10" s="85">
        <f>'FACTURA B'!W10</f>
        <v>0</v>
      </c>
      <c r="H10" s="94">
        <f>E10*10%</f>
        <v>0</v>
      </c>
      <c r="I10" s="94">
        <f>E10-H10</f>
        <v>0</v>
      </c>
      <c r="K10" s="95"/>
    </row>
    <row r="11" spans="1:11" s="91" customFormat="1" ht="16.5" customHeight="1" x14ac:dyDescent="0.25">
      <c r="A11" s="90">
        <f>'FACTURA B'!A11</f>
        <v>2</v>
      </c>
      <c r="B11" s="87">
        <f>'FACTURA B'!B11</f>
        <v>0</v>
      </c>
      <c r="C11" s="89">
        <f>'FACTURA B'!U11</f>
        <v>0</v>
      </c>
      <c r="D11" s="90">
        <f>'FACTURA B'!V11</f>
        <v>1</v>
      </c>
      <c r="E11" s="85">
        <f>'FACTURA B'!W11</f>
        <v>0</v>
      </c>
      <c r="G11" s="94"/>
      <c r="H11" s="94"/>
      <c r="I11" s="94"/>
      <c r="K11" s="94"/>
    </row>
    <row r="12" spans="1:11" s="91" customFormat="1" ht="16.5" customHeight="1" x14ac:dyDescent="0.25">
      <c r="A12" s="90">
        <f>'FACTURA B'!A12</f>
        <v>3</v>
      </c>
      <c r="B12" s="87">
        <f>'FACTURA B'!B12</f>
        <v>0</v>
      </c>
      <c r="C12" s="89">
        <f>'FACTURA B'!U12</f>
        <v>0</v>
      </c>
      <c r="D12" s="90">
        <f>'FACTURA B'!V12</f>
        <v>1</v>
      </c>
      <c r="E12" s="85">
        <f>'FACTURA B'!W12</f>
        <v>0</v>
      </c>
      <c r="K12" s="94"/>
    </row>
    <row r="13" spans="1:11" ht="16.5" customHeight="1" x14ac:dyDescent="0.25">
      <c r="A13" s="21">
        <f>'FACTURA B'!A13</f>
        <v>4</v>
      </c>
      <c r="B13" s="87">
        <f>'FACTURA B'!B13</f>
        <v>0</v>
      </c>
      <c r="C13" s="89">
        <f>'FACTURA B'!U13</f>
        <v>0</v>
      </c>
      <c r="D13" s="21">
        <f>'FACTURA B'!V13</f>
        <v>1</v>
      </c>
      <c r="E13" s="85">
        <f>'FACTURA B'!W13</f>
        <v>0</v>
      </c>
    </row>
    <row r="14" spans="1:11" ht="16.5" customHeight="1" x14ac:dyDescent="0.25">
      <c r="A14" s="21">
        <f>'FACTURA B'!A14</f>
        <v>5</v>
      </c>
      <c r="B14" s="87">
        <f>'FACTURA B'!B14</f>
        <v>0</v>
      </c>
      <c r="C14" s="89">
        <f>'FACTURA B'!U14</f>
        <v>0</v>
      </c>
      <c r="D14" s="21">
        <f>'FACTURA B'!V14</f>
        <v>1</v>
      </c>
      <c r="E14" s="85">
        <f>'FACTURA B'!W14</f>
        <v>0</v>
      </c>
    </row>
    <row r="15" spans="1:11" ht="16.5" customHeight="1" x14ac:dyDescent="0.25">
      <c r="A15" s="21">
        <f>'FACTURA B'!A15</f>
        <v>6</v>
      </c>
      <c r="B15" s="87">
        <f>'FACTURA B'!B15</f>
        <v>0</v>
      </c>
      <c r="C15" s="89">
        <f>'FACTURA B'!U15</f>
        <v>0</v>
      </c>
      <c r="D15" s="21">
        <f>'FACTURA B'!V15</f>
        <v>1</v>
      </c>
      <c r="E15" s="85">
        <f>'FACTURA B'!W15</f>
        <v>0</v>
      </c>
    </row>
    <row r="16" spans="1:11" ht="16.5" customHeight="1" x14ac:dyDescent="0.25">
      <c r="A16" s="21">
        <f>'FACTURA B'!A16</f>
        <v>7</v>
      </c>
      <c r="B16" s="87">
        <f>'FACTURA B'!B16</f>
        <v>0</v>
      </c>
      <c r="C16" s="85">
        <f>'FACTURA B'!U16</f>
        <v>0</v>
      </c>
      <c r="D16" s="21">
        <f>'FACTURA B'!V16</f>
        <v>1</v>
      </c>
      <c r="E16" s="85">
        <f>'FACTURA B'!W16</f>
        <v>0</v>
      </c>
    </row>
    <row r="17" spans="1:5" ht="16.5" customHeight="1" x14ac:dyDescent="0.25">
      <c r="A17" s="21">
        <f>'FACTURA B'!A17</f>
        <v>8</v>
      </c>
      <c r="B17" s="87">
        <f>'FACTURA B'!B17</f>
        <v>0</v>
      </c>
      <c r="C17" s="85">
        <f>'FACTURA B'!U17</f>
        <v>0</v>
      </c>
      <c r="D17" s="21">
        <f>'FACTURA B'!V17</f>
        <v>1</v>
      </c>
      <c r="E17" s="85">
        <f>'FACTURA B'!W17</f>
        <v>0</v>
      </c>
    </row>
    <row r="18" spans="1:5" ht="16.5" customHeight="1" x14ac:dyDescent="0.25">
      <c r="A18" s="21">
        <f>'FACTURA B'!A18</f>
        <v>9</v>
      </c>
      <c r="B18" s="87">
        <f>'FACTURA B'!B18</f>
        <v>0</v>
      </c>
      <c r="C18" s="85">
        <f>'FACTURA B'!U18</f>
        <v>0</v>
      </c>
      <c r="D18" s="21">
        <f>'FACTURA B'!V18</f>
        <v>1</v>
      </c>
      <c r="E18" s="85">
        <f>'FACTURA B'!W18</f>
        <v>0</v>
      </c>
    </row>
    <row r="19" spans="1:5" x14ac:dyDescent="0.25">
      <c r="A19" s="21">
        <f>'FACTURA B'!A19</f>
        <v>10</v>
      </c>
      <c r="B19" s="87">
        <f>'FACTURA B'!B19</f>
        <v>0</v>
      </c>
      <c r="C19" s="89">
        <f>'FACTURA B'!U19</f>
        <v>0</v>
      </c>
      <c r="D19" s="21">
        <f>'FACTURA B'!V19</f>
        <v>1</v>
      </c>
      <c r="E19" s="85">
        <f>'FACTURA B'!W19</f>
        <v>0</v>
      </c>
    </row>
    <row r="20" spans="1:5" x14ac:dyDescent="0.25">
      <c r="A20" s="21">
        <f>'FACTURA B'!A20</f>
        <v>11</v>
      </c>
      <c r="B20" s="87">
        <f>'FACTURA B'!B20</f>
        <v>0</v>
      </c>
      <c r="C20" s="89">
        <f>'FACTURA B'!U20</f>
        <v>0</v>
      </c>
      <c r="D20" s="21">
        <f>'FACTURA B'!V20</f>
        <v>1</v>
      </c>
      <c r="E20" s="85">
        <f>'FACTURA B'!W20</f>
        <v>0</v>
      </c>
    </row>
    <row r="21" spans="1:5" x14ac:dyDescent="0.25">
      <c r="A21" s="21">
        <f>'FACTURA B'!A21</f>
        <v>12</v>
      </c>
      <c r="B21" s="87">
        <f>'FACTURA B'!B21</f>
        <v>0</v>
      </c>
      <c r="C21" s="89">
        <f>'FACTURA B'!U21</f>
        <v>0</v>
      </c>
      <c r="D21" s="21">
        <f>'FACTURA B'!V21</f>
        <v>1</v>
      </c>
      <c r="E21" s="85">
        <f>'FACTURA B'!W21</f>
        <v>0</v>
      </c>
    </row>
    <row r="22" spans="1:5" x14ac:dyDescent="0.25">
      <c r="A22" s="21">
        <f>'FACTURA B'!A22</f>
        <v>13</v>
      </c>
      <c r="B22" s="87">
        <f>'FACTURA B'!B22</f>
        <v>0</v>
      </c>
      <c r="C22" s="89">
        <f>'FACTURA B'!U22</f>
        <v>0</v>
      </c>
      <c r="D22" s="21">
        <f>'FACTURA B'!V22</f>
        <v>1</v>
      </c>
      <c r="E22" s="85">
        <f>'FACTURA B'!W22</f>
        <v>0</v>
      </c>
    </row>
    <row r="23" spans="1:5" x14ac:dyDescent="0.25">
      <c r="A23" s="21">
        <f>'FACTURA B'!A23</f>
        <v>14</v>
      </c>
      <c r="B23" s="88">
        <f>'FACTURA B'!B23</f>
        <v>0</v>
      </c>
      <c r="C23" s="89">
        <f>'FACTURA B'!U23</f>
        <v>0</v>
      </c>
      <c r="D23" s="21">
        <f>'FACTURA B'!V23</f>
        <v>1</v>
      </c>
      <c r="E23" s="85">
        <f>'FACTURA B'!W23</f>
        <v>0</v>
      </c>
    </row>
    <row r="24" spans="1:5" x14ac:dyDescent="0.25">
      <c r="A24" s="21">
        <f>'FACTURA B'!A24</f>
        <v>15</v>
      </c>
      <c r="B24" s="88">
        <f>'FACTURA B'!B24</f>
        <v>0</v>
      </c>
      <c r="C24" s="89">
        <f>'FACTURA B'!U24</f>
        <v>0</v>
      </c>
      <c r="D24" s="21">
        <f>'FACTURA B'!V24</f>
        <v>1</v>
      </c>
      <c r="E24" s="85">
        <f>'FACTURA B'!W24</f>
        <v>0</v>
      </c>
    </row>
    <row r="25" spans="1:5" x14ac:dyDescent="0.25">
      <c r="A25" s="21">
        <f>'FACTURA B'!A25</f>
        <v>16</v>
      </c>
      <c r="B25" s="88">
        <f>'FACTURA B'!B25</f>
        <v>0</v>
      </c>
      <c r="C25" s="85">
        <f>'FACTURA B'!U25</f>
        <v>0</v>
      </c>
      <c r="D25" s="21">
        <f>'FACTURA B'!V25</f>
        <v>1</v>
      </c>
      <c r="E25" s="85">
        <f>'FACTURA B'!W25</f>
        <v>0</v>
      </c>
    </row>
    <row r="26" spans="1:5" x14ac:dyDescent="0.25">
      <c r="A26" s="21">
        <f>'FACTURA B'!A26</f>
        <v>17</v>
      </c>
      <c r="B26" s="87">
        <f>'FACTURA B'!B26</f>
        <v>0</v>
      </c>
      <c r="C26" s="85">
        <f>'FACTURA B'!U26</f>
        <v>0</v>
      </c>
      <c r="D26" s="21">
        <f>'FACTURA B'!V26</f>
        <v>1</v>
      </c>
      <c r="E26" s="85">
        <f>'FACTURA B'!W26</f>
        <v>0</v>
      </c>
    </row>
    <row r="27" spans="1:5" x14ac:dyDescent="0.25">
      <c r="A27" s="21">
        <f>'FACTURA B'!A27</f>
        <v>18</v>
      </c>
      <c r="B27" s="88">
        <f>'FACTURA B'!B27</f>
        <v>0</v>
      </c>
      <c r="C27" s="85">
        <f>'FACTURA B'!U27</f>
        <v>0</v>
      </c>
      <c r="D27" s="21">
        <f>'FACTURA B'!V27</f>
        <v>1</v>
      </c>
      <c r="E27" s="85">
        <f>'FACTURA B'!W27</f>
        <v>0</v>
      </c>
    </row>
    <row r="28" spans="1:5" x14ac:dyDescent="0.25">
      <c r="A28" s="21">
        <f>'FACTURA B'!A28</f>
        <v>19</v>
      </c>
      <c r="B28" s="88">
        <f>'FACTURA B'!B28</f>
        <v>0</v>
      </c>
      <c r="C28" s="85">
        <f>'FACTURA B'!U28</f>
        <v>0</v>
      </c>
      <c r="D28" s="21">
        <f>'FACTURA B'!V28</f>
        <v>1</v>
      </c>
      <c r="E28" s="85">
        <f>'FACTURA B'!W28</f>
        <v>0</v>
      </c>
    </row>
    <row r="29" spans="1:5" x14ac:dyDescent="0.25">
      <c r="A29" s="21">
        <f>'FACTURA B'!A29</f>
        <v>20</v>
      </c>
      <c r="B29" s="88">
        <f>'FACTURA B'!B29</f>
        <v>0</v>
      </c>
      <c r="C29" s="85">
        <f>'FACTURA B'!U29</f>
        <v>0</v>
      </c>
      <c r="D29" s="21">
        <f>'FACTURA B'!V29</f>
        <v>1</v>
      </c>
      <c r="E29" s="85">
        <f>'FACTURA B'!W29</f>
        <v>0</v>
      </c>
    </row>
    <row r="30" spans="1:5" x14ac:dyDescent="0.25">
      <c r="A30" s="21">
        <f>'FACTURA B'!A30</f>
        <v>21</v>
      </c>
      <c r="B30" s="88">
        <f>'FACTURA B'!B30</f>
        <v>0</v>
      </c>
      <c r="C30" s="85">
        <f>'FACTURA B'!U30</f>
        <v>0</v>
      </c>
      <c r="D30" s="21">
        <f>'FACTURA B'!V30</f>
        <v>1</v>
      </c>
      <c r="E30" s="85">
        <f>'FACTURA B'!W30</f>
        <v>0</v>
      </c>
    </row>
    <row r="31" spans="1:5" ht="15.75" thickBot="1" x14ac:dyDescent="0.3">
      <c r="D31" s="59" t="str">
        <f>'FACTURA B'!V32</f>
        <v>Importe Total:</v>
      </c>
      <c r="E31" s="60">
        <f>'FACTURA B'!W32</f>
        <v>0</v>
      </c>
    </row>
    <row r="32" spans="1:5" ht="15.75" thickTop="1" x14ac:dyDescent="0.25">
      <c r="C32" s="34" t="str">
        <f>'FACTURA B'!U33</f>
        <v>DESCUENTO:</v>
      </c>
      <c r="D32" s="74">
        <f>'FACTURA B'!V33</f>
        <v>0.1</v>
      </c>
      <c r="E32" s="58">
        <f>'FACTURA B'!W33</f>
        <v>0</v>
      </c>
    </row>
    <row r="33" spans="1:7" ht="18.75" customHeight="1" thickBot="1" x14ac:dyDescent="0.3">
      <c r="D33" s="57" t="str">
        <f>'FACTURA B'!V34</f>
        <v>Con Descuento:</v>
      </c>
      <c r="E33" s="75">
        <f>'FACTURA B'!W34</f>
        <v>0</v>
      </c>
      <c r="F33" s="96">
        <v>0.5</v>
      </c>
      <c r="G33" s="84">
        <f>E33/2</f>
        <v>0</v>
      </c>
    </row>
    <row r="34" spans="1:7" ht="15.75" thickTop="1" x14ac:dyDescent="0.25"/>
    <row r="44" spans="1:7" x14ac:dyDescent="0.25">
      <c r="A44" s="19"/>
    </row>
    <row r="45" spans="1:7" x14ac:dyDescent="0.25">
      <c r="E45" s="86"/>
    </row>
  </sheetData>
  <mergeCells count="5">
    <mergeCell ref="A7:A9"/>
    <mergeCell ref="B7:B9"/>
    <mergeCell ref="C7:C9"/>
    <mergeCell ref="D7:D9"/>
    <mergeCell ref="E7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2"/>
  <sheetViews>
    <sheetView tabSelected="1" topLeftCell="L1" zoomScale="85" zoomScaleNormal="85" workbookViewId="0">
      <selection activeCell="T38" sqref="T38"/>
    </sheetView>
  </sheetViews>
  <sheetFormatPr baseColWidth="10" defaultColWidth="11.42578125" defaultRowHeight="15" x14ac:dyDescent="0.25"/>
  <cols>
    <col min="1" max="1" width="8.5703125" style="1" customWidth="1"/>
    <col min="2" max="2" width="53.42578125" style="1" customWidth="1"/>
    <col min="3" max="3" width="18.28515625" style="1" bestFit="1" customWidth="1"/>
    <col min="4" max="4" width="16.140625" style="1" customWidth="1"/>
    <col min="5" max="5" width="14.7109375" style="1" customWidth="1"/>
    <col min="6" max="6" width="9.7109375" style="1" customWidth="1"/>
    <col min="7" max="7" width="15.140625" style="1" customWidth="1"/>
    <col min="8" max="8" width="15" style="1" customWidth="1"/>
    <col min="9" max="9" width="12" style="1" customWidth="1"/>
    <col min="10" max="10" width="13.7109375" style="1" customWidth="1"/>
    <col min="11" max="11" width="15.42578125" style="1" customWidth="1"/>
    <col min="12" max="12" width="16" style="1" customWidth="1"/>
    <col min="13" max="13" width="10.7109375" style="1" customWidth="1"/>
    <col min="14" max="14" width="15.85546875" style="1" customWidth="1"/>
    <col min="15" max="15" width="14.85546875" style="1" customWidth="1"/>
    <col min="16" max="16" width="14.7109375" style="1" customWidth="1"/>
    <col min="17" max="17" width="14.28515625" style="1" customWidth="1"/>
    <col min="18" max="18" width="15.28515625" style="1" customWidth="1"/>
    <col min="19" max="20" width="10" style="1" customWidth="1"/>
    <col min="21" max="21" width="14.42578125" style="1" customWidth="1"/>
    <col min="22" max="22" width="16.5703125" style="1" customWidth="1"/>
    <col min="23" max="23" width="17.28515625" style="1" customWidth="1"/>
    <col min="24" max="26" width="11.42578125" style="1" customWidth="1"/>
    <col min="27" max="27" width="17.85546875" style="1" customWidth="1"/>
    <col min="28" max="28" width="14.42578125" style="1" customWidth="1"/>
    <col min="29" max="29" width="11.42578125" style="1" customWidth="1"/>
    <col min="30" max="30" width="13.85546875" style="1" customWidth="1"/>
    <col min="31" max="31" width="12.42578125" style="1" bestFit="1" customWidth="1"/>
    <col min="32" max="32" width="14.28515625" style="1" bestFit="1" customWidth="1"/>
    <col min="33" max="33" width="11.42578125" style="1"/>
    <col min="34" max="34" width="13.42578125" style="1" customWidth="1"/>
    <col min="35" max="16384" width="11.42578125" style="1"/>
  </cols>
  <sheetData>
    <row r="1" spans="1:34" ht="15.75" x14ac:dyDescent="0.25">
      <c r="A1" s="3" t="s">
        <v>57</v>
      </c>
    </row>
    <row r="2" spans="1:34" ht="15.75" x14ac:dyDescent="0.25">
      <c r="A2" s="3" t="s">
        <v>58</v>
      </c>
    </row>
    <row r="3" spans="1:34" ht="15.75" x14ac:dyDescent="0.25">
      <c r="A3" s="3" t="s">
        <v>61</v>
      </c>
    </row>
    <row r="4" spans="1:34" ht="15.75" x14ac:dyDescent="0.25">
      <c r="A4" s="3" t="s">
        <v>60</v>
      </c>
    </row>
    <row r="5" spans="1:34" ht="15.75" x14ac:dyDescent="0.25">
      <c r="A5" s="3" t="s">
        <v>59</v>
      </c>
      <c r="U5" s="4">
        <f>+W10</f>
        <v>0</v>
      </c>
      <c r="V5" s="4">
        <f>+U5/1.21*0.21</f>
        <v>0</v>
      </c>
      <c r="W5" s="4">
        <f>+U5+V5</f>
        <v>0</v>
      </c>
    </row>
    <row r="6" spans="1:34" ht="15.75" thickBot="1" x14ac:dyDescent="0.3">
      <c r="I6" s="18" t="e">
        <f>K10/C10</f>
        <v>#DIV/0!</v>
      </c>
    </row>
    <row r="7" spans="1:34" ht="15" customHeight="1" thickBot="1" x14ac:dyDescent="0.3">
      <c r="A7" s="138" t="s">
        <v>43</v>
      </c>
      <c r="B7" s="139" t="s">
        <v>0</v>
      </c>
      <c r="C7" s="141" t="s">
        <v>26</v>
      </c>
      <c r="D7" s="142"/>
      <c r="E7" s="143"/>
      <c r="F7" s="132" t="s">
        <v>22</v>
      </c>
      <c r="G7" s="144"/>
      <c r="H7" s="144"/>
      <c r="I7" s="144"/>
      <c r="J7" s="144"/>
      <c r="K7" s="133"/>
      <c r="L7" s="145" t="s">
        <v>36</v>
      </c>
      <c r="M7" s="132" t="s">
        <v>37</v>
      </c>
      <c r="N7" s="133"/>
      <c r="O7" s="132" t="s">
        <v>31</v>
      </c>
      <c r="P7" s="133"/>
      <c r="Q7" s="132" t="s">
        <v>23</v>
      </c>
      <c r="R7" s="133"/>
      <c r="S7" s="42" t="s">
        <v>41</v>
      </c>
      <c r="T7" s="42" t="s">
        <v>42</v>
      </c>
      <c r="U7" s="113" t="s">
        <v>21</v>
      </c>
      <c r="V7" s="134" t="s">
        <v>48</v>
      </c>
      <c r="W7" s="113" t="s">
        <v>34</v>
      </c>
      <c r="X7" s="116" t="s">
        <v>6</v>
      </c>
      <c r="Y7" s="116" t="s">
        <v>7</v>
      </c>
      <c r="Z7" s="116" t="s">
        <v>8</v>
      </c>
      <c r="AA7" s="119" t="s">
        <v>9</v>
      </c>
      <c r="AB7" s="122" t="s">
        <v>10</v>
      </c>
      <c r="AC7" s="113" t="s">
        <v>4</v>
      </c>
      <c r="AD7" s="113" t="s">
        <v>5</v>
      </c>
      <c r="AE7" s="107" t="s">
        <v>11</v>
      </c>
      <c r="AF7" s="110" t="s">
        <v>12</v>
      </c>
      <c r="AG7" s="110" t="s">
        <v>13</v>
      </c>
      <c r="AH7" s="110" t="s">
        <v>14</v>
      </c>
    </row>
    <row r="8" spans="1:34" ht="15" customHeight="1" thickBot="1" x14ac:dyDescent="0.3">
      <c r="A8" s="138"/>
      <c r="B8" s="139"/>
      <c r="C8" s="162"/>
      <c r="D8" s="159" t="s">
        <v>53</v>
      </c>
      <c r="E8" s="41" t="s">
        <v>23</v>
      </c>
      <c r="F8" s="125" t="s">
        <v>17</v>
      </c>
      <c r="G8" s="150" t="s">
        <v>18</v>
      </c>
      <c r="H8" s="150" t="s">
        <v>19</v>
      </c>
      <c r="I8" s="148" t="s">
        <v>1</v>
      </c>
      <c r="J8" s="37" t="s">
        <v>23</v>
      </c>
      <c r="K8" s="128" t="s">
        <v>2</v>
      </c>
      <c r="L8" s="146"/>
      <c r="M8" s="135" t="s">
        <v>15</v>
      </c>
      <c r="N8" s="136" t="s">
        <v>3</v>
      </c>
      <c r="O8" s="125" t="s">
        <v>28</v>
      </c>
      <c r="P8" s="126"/>
      <c r="Q8" s="125" t="s">
        <v>16</v>
      </c>
      <c r="R8" s="128" t="s">
        <v>40</v>
      </c>
      <c r="S8" s="130" t="s">
        <v>24</v>
      </c>
      <c r="T8" s="131"/>
      <c r="U8" s="114"/>
      <c r="V8" s="134"/>
      <c r="W8" s="114"/>
      <c r="X8" s="117"/>
      <c r="Y8" s="117"/>
      <c r="Z8" s="118"/>
      <c r="AA8" s="120"/>
      <c r="AB8" s="123"/>
      <c r="AC8" s="114"/>
      <c r="AD8" s="114"/>
      <c r="AE8" s="108"/>
      <c r="AF8" s="111"/>
      <c r="AG8" s="111"/>
      <c r="AH8" s="111"/>
    </row>
    <row r="9" spans="1:34" ht="15.75" thickBot="1" x14ac:dyDescent="0.3">
      <c r="A9" s="138"/>
      <c r="B9" s="140"/>
      <c r="C9" s="163"/>
      <c r="D9" s="160"/>
      <c r="E9" s="38">
        <v>0.21</v>
      </c>
      <c r="F9" s="127"/>
      <c r="G9" s="151"/>
      <c r="H9" s="151"/>
      <c r="I9" s="149"/>
      <c r="J9" s="36">
        <v>0.21</v>
      </c>
      <c r="K9" s="129"/>
      <c r="L9" s="147"/>
      <c r="M9" s="127"/>
      <c r="N9" s="137"/>
      <c r="O9" s="39" t="s">
        <v>38</v>
      </c>
      <c r="P9" s="40" t="s">
        <v>39</v>
      </c>
      <c r="Q9" s="127"/>
      <c r="R9" s="129"/>
      <c r="S9" s="43">
        <v>3.5000000000000003E-2</v>
      </c>
      <c r="T9" s="44">
        <v>3.5000000000000003E-2</v>
      </c>
      <c r="U9" s="115"/>
      <c r="V9" s="134"/>
      <c r="W9" s="115"/>
      <c r="X9" s="118"/>
      <c r="Y9" s="118"/>
      <c r="Z9" s="45">
        <v>8.0000000000000002E-3</v>
      </c>
      <c r="AA9" s="121"/>
      <c r="AB9" s="124"/>
      <c r="AC9" s="115"/>
      <c r="AD9" s="115"/>
      <c r="AE9" s="109"/>
      <c r="AF9" s="112"/>
      <c r="AG9" s="112"/>
      <c r="AH9" s="112"/>
    </row>
    <row r="10" spans="1:34" ht="18.75" customHeight="1" thickBot="1" x14ac:dyDescent="0.3">
      <c r="A10" s="2">
        <v>1</v>
      </c>
      <c r="B10" s="153"/>
      <c r="C10" s="161">
        <v>0</v>
      </c>
      <c r="D10" s="61">
        <f>C10*V10</f>
        <v>0</v>
      </c>
      <c r="E10" s="7">
        <f>D10*0.21</f>
        <v>0</v>
      </c>
      <c r="F10" s="22">
        <v>0.2</v>
      </c>
      <c r="G10" s="20">
        <f>D10*F10</f>
        <v>0</v>
      </c>
      <c r="H10" s="23">
        <v>8.9999999999999993E-3</v>
      </c>
      <c r="I10" s="20">
        <f>D10*H10</f>
        <v>0</v>
      </c>
      <c r="J10" s="20">
        <f>(G10+I10)*0.21</f>
        <v>0</v>
      </c>
      <c r="K10" s="20">
        <f>G10+I10+J10</f>
        <v>0</v>
      </c>
      <c r="L10" s="20">
        <f>D10</f>
        <v>0</v>
      </c>
      <c r="M10" s="82">
        <v>0.3</v>
      </c>
      <c r="N10" s="20">
        <f>L10*M10</f>
        <v>0</v>
      </c>
      <c r="O10" s="20">
        <f>L10+N10</f>
        <v>0</v>
      </c>
      <c r="P10" s="20">
        <f>O10+R10+S10</f>
        <v>0</v>
      </c>
      <c r="Q10" s="23">
        <v>0.21</v>
      </c>
      <c r="R10" s="20">
        <f>(O10+S10+K10)*Q10</f>
        <v>0</v>
      </c>
      <c r="S10" s="102">
        <f t="shared" ref="S10:S30" si="0">+O10*0.035</f>
        <v>0</v>
      </c>
      <c r="T10" s="103"/>
      <c r="U10" s="20">
        <f>((P10+S10+K10)/V10)</f>
        <v>0</v>
      </c>
      <c r="V10" s="83">
        <v>1</v>
      </c>
      <c r="W10" s="24">
        <f>+U10*V10</f>
        <v>0</v>
      </c>
      <c r="X10" s="9">
        <f t="shared" ref="X10:X30" si="1">0.6*0.7*1</f>
        <v>0.42</v>
      </c>
      <c r="Y10" s="9">
        <f t="shared" ref="Y10:Y18" si="2">+X10*2780</f>
        <v>1167.5999999999999</v>
      </c>
      <c r="Z10" s="9">
        <f>C10*Z9</f>
        <v>0</v>
      </c>
      <c r="AA10" s="9">
        <f t="shared" ref="AA10:AA18" si="3">+(Y10+Z10)*1.21</f>
        <v>1412.7959999999998</v>
      </c>
      <c r="AB10" s="25">
        <f>U10*1.03</f>
        <v>0</v>
      </c>
      <c r="AC10" s="26">
        <v>1</v>
      </c>
      <c r="AD10" s="27">
        <f t="shared" ref="AD10:AD18" si="4">+AB10*AC10</f>
        <v>0</v>
      </c>
      <c r="AE10" s="28">
        <f>+N10*V10</f>
        <v>0</v>
      </c>
      <c r="AF10" s="29">
        <f t="shared" ref="AF10:AF30" si="5">+K10*V10</f>
        <v>0</v>
      </c>
      <c r="AG10" s="28">
        <f t="shared" ref="AG10:AG18" si="6">+AA10*AC10</f>
        <v>1412.7959999999998</v>
      </c>
      <c r="AH10" s="28">
        <f>(+C10+R10)*V10</f>
        <v>0</v>
      </c>
    </row>
    <row r="11" spans="1:34" ht="15.75" thickBot="1" x14ac:dyDescent="0.3">
      <c r="A11" s="2">
        <v>2</v>
      </c>
      <c r="B11" s="154"/>
      <c r="C11" s="93">
        <v>0</v>
      </c>
      <c r="D11" s="61">
        <f>C11*V11</f>
        <v>0</v>
      </c>
      <c r="E11" s="7">
        <f t="shared" ref="E11:E30" si="7">D11*0.21</f>
        <v>0</v>
      </c>
      <c r="F11" s="22">
        <v>0.2</v>
      </c>
      <c r="G11" s="20">
        <f>D11*F11</f>
        <v>0</v>
      </c>
      <c r="H11" s="23">
        <v>8.9999999999999993E-3</v>
      </c>
      <c r="I11" s="20">
        <f>D11*H11</f>
        <v>0</v>
      </c>
      <c r="J11" s="20">
        <f>(G11+I11)*0.21</f>
        <v>0</v>
      </c>
      <c r="K11" s="20">
        <f>G11+I11+J11</f>
        <v>0</v>
      </c>
      <c r="L11" s="20">
        <f t="shared" ref="L11:L30" si="8">D11</f>
        <v>0</v>
      </c>
      <c r="M11" s="82">
        <v>0.3</v>
      </c>
      <c r="N11" s="20">
        <f t="shared" ref="N11:N30" si="9">L11*M11</f>
        <v>0</v>
      </c>
      <c r="O11" s="20">
        <f t="shared" ref="O11:O30" si="10">L11+N11</f>
        <v>0</v>
      </c>
      <c r="P11" s="20">
        <f t="shared" ref="P11:P30" si="11">O11+R11+S11</f>
        <v>0</v>
      </c>
      <c r="Q11" s="5">
        <v>0.21</v>
      </c>
      <c r="R11" s="20">
        <f t="shared" ref="R11:R30" si="12">(O11+S11+K11)*Q11</f>
        <v>0</v>
      </c>
      <c r="S11" s="102">
        <f t="shared" si="0"/>
        <v>0</v>
      </c>
      <c r="T11" s="103"/>
      <c r="U11" s="20">
        <f t="shared" ref="U11:U30" si="13">((P11+S11+K11)/V11)</f>
        <v>0</v>
      </c>
      <c r="V11" s="83">
        <v>1</v>
      </c>
      <c r="W11" s="24">
        <f t="shared" ref="W11:W30" si="14">+U11*V11</f>
        <v>0</v>
      </c>
      <c r="X11" s="8">
        <f t="shared" si="1"/>
        <v>0.42</v>
      </c>
      <c r="Y11" s="8">
        <f t="shared" si="2"/>
        <v>1167.5999999999999</v>
      </c>
      <c r="Z11" s="9">
        <f>C11*Z9</f>
        <v>0</v>
      </c>
      <c r="AA11" s="8">
        <f t="shared" si="3"/>
        <v>1412.7959999999998</v>
      </c>
      <c r="AB11" s="25">
        <f t="shared" ref="AB11:AB30" si="15">U11*1.03</f>
        <v>0</v>
      </c>
      <c r="AC11" s="10">
        <v>1</v>
      </c>
      <c r="AD11" s="11">
        <f t="shared" si="4"/>
        <v>0</v>
      </c>
      <c r="AE11" s="12"/>
      <c r="AF11" s="13">
        <f t="shared" si="5"/>
        <v>0</v>
      </c>
      <c r="AG11" s="12">
        <f t="shared" si="6"/>
        <v>1412.7959999999998</v>
      </c>
      <c r="AH11" s="12">
        <f>(+C11+R11)*V11</f>
        <v>0</v>
      </c>
    </row>
    <row r="12" spans="1:34" ht="15.75" thickBot="1" x14ac:dyDescent="0.3">
      <c r="A12" s="2">
        <v>3</v>
      </c>
      <c r="B12" s="155"/>
      <c r="C12" s="93">
        <v>0</v>
      </c>
      <c r="D12" s="61">
        <f t="shared" ref="D12:D30" si="16">C12*V12</f>
        <v>0</v>
      </c>
      <c r="E12" s="7">
        <f t="shared" si="7"/>
        <v>0</v>
      </c>
      <c r="F12" s="22">
        <v>0.2</v>
      </c>
      <c r="G12" s="20">
        <f t="shared" ref="G12:G30" si="17">D12*F12</f>
        <v>0</v>
      </c>
      <c r="H12" s="23">
        <v>8.9999999999999993E-3</v>
      </c>
      <c r="I12" s="20">
        <f t="shared" ref="I12:I30" si="18">D12*H12</f>
        <v>0</v>
      </c>
      <c r="J12" s="20">
        <f t="shared" ref="J12:J30" si="19">(G12+I12)*0.21</f>
        <v>0</v>
      </c>
      <c r="K12" s="20">
        <f t="shared" ref="K12:K30" si="20">G12+I12+J12</f>
        <v>0</v>
      </c>
      <c r="L12" s="20">
        <f t="shared" si="8"/>
        <v>0</v>
      </c>
      <c r="M12" s="82">
        <v>0.3</v>
      </c>
      <c r="N12" s="20">
        <f t="shared" si="9"/>
        <v>0</v>
      </c>
      <c r="O12" s="20">
        <f t="shared" si="10"/>
        <v>0</v>
      </c>
      <c r="P12" s="20">
        <f t="shared" si="11"/>
        <v>0</v>
      </c>
      <c r="Q12" s="5">
        <v>0.21</v>
      </c>
      <c r="R12" s="20">
        <f t="shared" si="12"/>
        <v>0</v>
      </c>
      <c r="S12" s="102">
        <f t="shared" si="0"/>
        <v>0</v>
      </c>
      <c r="T12" s="103"/>
      <c r="U12" s="20">
        <f t="shared" si="13"/>
        <v>0</v>
      </c>
      <c r="V12" s="83">
        <v>1</v>
      </c>
      <c r="W12" s="24">
        <f t="shared" si="14"/>
        <v>0</v>
      </c>
      <c r="X12" s="8">
        <f t="shared" si="1"/>
        <v>0.42</v>
      </c>
      <c r="Y12" s="8">
        <f t="shared" si="2"/>
        <v>1167.5999999999999</v>
      </c>
      <c r="Z12" s="9">
        <f>C12*Z9</f>
        <v>0</v>
      </c>
      <c r="AA12" s="8">
        <f t="shared" si="3"/>
        <v>1412.7959999999998</v>
      </c>
      <c r="AB12" s="25">
        <f t="shared" si="15"/>
        <v>0</v>
      </c>
      <c r="AC12" s="10">
        <v>1</v>
      </c>
      <c r="AD12" s="11">
        <f t="shared" si="4"/>
        <v>0</v>
      </c>
      <c r="AE12" s="12"/>
      <c r="AF12" s="13">
        <f t="shared" si="5"/>
        <v>0</v>
      </c>
      <c r="AG12" s="12">
        <f t="shared" si="6"/>
        <v>1412.7959999999998</v>
      </c>
      <c r="AH12" s="12">
        <f t="shared" ref="AH12:AH30" si="21">(+C12+R12)*V12</f>
        <v>0</v>
      </c>
    </row>
    <row r="13" spans="1:34" ht="14.25" customHeight="1" thickBot="1" x14ac:dyDescent="0.3">
      <c r="A13" s="2">
        <v>4</v>
      </c>
      <c r="B13" s="156"/>
      <c r="C13" s="93">
        <v>0</v>
      </c>
      <c r="D13" s="61">
        <f t="shared" si="16"/>
        <v>0</v>
      </c>
      <c r="E13" s="7">
        <f t="shared" si="7"/>
        <v>0</v>
      </c>
      <c r="F13" s="22">
        <v>0.2</v>
      </c>
      <c r="G13" s="20">
        <f t="shared" si="17"/>
        <v>0</v>
      </c>
      <c r="H13" s="23">
        <v>8.9999999999999993E-3</v>
      </c>
      <c r="I13" s="20">
        <f t="shared" si="18"/>
        <v>0</v>
      </c>
      <c r="J13" s="20">
        <f t="shared" si="19"/>
        <v>0</v>
      </c>
      <c r="K13" s="20">
        <f t="shared" si="20"/>
        <v>0</v>
      </c>
      <c r="L13" s="20">
        <f t="shared" si="8"/>
        <v>0</v>
      </c>
      <c r="M13" s="82">
        <v>0.3</v>
      </c>
      <c r="N13" s="20">
        <f t="shared" si="9"/>
        <v>0</v>
      </c>
      <c r="O13" s="20">
        <f t="shared" si="10"/>
        <v>0</v>
      </c>
      <c r="P13" s="20">
        <f t="shared" si="11"/>
        <v>0</v>
      </c>
      <c r="Q13" s="5">
        <v>0.21</v>
      </c>
      <c r="R13" s="20">
        <f t="shared" si="12"/>
        <v>0</v>
      </c>
      <c r="S13" s="102">
        <f t="shared" si="0"/>
        <v>0</v>
      </c>
      <c r="T13" s="103"/>
      <c r="U13" s="20">
        <f t="shared" si="13"/>
        <v>0</v>
      </c>
      <c r="V13" s="83">
        <v>1</v>
      </c>
      <c r="W13" s="24">
        <f>+U13*V13</f>
        <v>0</v>
      </c>
      <c r="X13" s="8">
        <f t="shared" si="1"/>
        <v>0.42</v>
      </c>
      <c r="Y13" s="8">
        <f>+X13*2780</f>
        <v>1167.5999999999999</v>
      </c>
      <c r="Z13" s="9">
        <f>C13*Z9</f>
        <v>0</v>
      </c>
      <c r="AA13" s="8">
        <f>+(Y13+Z13)*1.21</f>
        <v>1412.7959999999998</v>
      </c>
      <c r="AB13" s="25">
        <f t="shared" si="15"/>
        <v>0</v>
      </c>
      <c r="AC13" s="10">
        <v>1</v>
      </c>
      <c r="AD13" s="11">
        <f>+AB13*AC13</f>
        <v>0</v>
      </c>
      <c r="AE13" s="12">
        <f>+N13*V13</f>
        <v>0</v>
      </c>
      <c r="AF13" s="13">
        <f t="shared" si="5"/>
        <v>0</v>
      </c>
      <c r="AG13" s="12">
        <f>+AA13*AC13</f>
        <v>1412.7959999999998</v>
      </c>
      <c r="AH13" s="12">
        <f t="shared" si="21"/>
        <v>0</v>
      </c>
    </row>
    <row r="14" spans="1:34" ht="15.75" thickBot="1" x14ac:dyDescent="0.3">
      <c r="A14" s="2">
        <v>5</v>
      </c>
      <c r="B14" s="157"/>
      <c r="C14" s="93">
        <v>0</v>
      </c>
      <c r="D14" s="61">
        <f t="shared" si="16"/>
        <v>0</v>
      </c>
      <c r="E14" s="7">
        <f t="shared" si="7"/>
        <v>0</v>
      </c>
      <c r="F14" s="22">
        <v>0.2</v>
      </c>
      <c r="G14" s="20">
        <f t="shared" si="17"/>
        <v>0</v>
      </c>
      <c r="H14" s="23">
        <v>8.9999999999999993E-3</v>
      </c>
      <c r="I14" s="20">
        <f t="shared" si="18"/>
        <v>0</v>
      </c>
      <c r="J14" s="20">
        <f t="shared" si="19"/>
        <v>0</v>
      </c>
      <c r="K14" s="20">
        <f t="shared" si="20"/>
        <v>0</v>
      </c>
      <c r="L14" s="20">
        <f t="shared" si="8"/>
        <v>0</v>
      </c>
      <c r="M14" s="82">
        <v>0.3</v>
      </c>
      <c r="N14" s="20">
        <f t="shared" si="9"/>
        <v>0</v>
      </c>
      <c r="O14" s="20">
        <f t="shared" si="10"/>
        <v>0</v>
      </c>
      <c r="P14" s="20">
        <f t="shared" si="11"/>
        <v>0</v>
      </c>
      <c r="Q14" s="5">
        <v>0.21</v>
      </c>
      <c r="R14" s="20">
        <f t="shared" si="12"/>
        <v>0</v>
      </c>
      <c r="S14" s="102">
        <f t="shared" si="0"/>
        <v>0</v>
      </c>
      <c r="T14" s="103"/>
      <c r="U14" s="20">
        <f t="shared" si="13"/>
        <v>0</v>
      </c>
      <c r="V14" s="83">
        <v>1</v>
      </c>
      <c r="W14" s="24">
        <f t="shared" si="14"/>
        <v>0</v>
      </c>
      <c r="X14" s="8">
        <f t="shared" si="1"/>
        <v>0.42</v>
      </c>
      <c r="Y14" s="8">
        <f t="shared" si="2"/>
        <v>1167.5999999999999</v>
      </c>
      <c r="Z14" s="9">
        <f>C14*Z9</f>
        <v>0</v>
      </c>
      <c r="AA14" s="8">
        <f t="shared" si="3"/>
        <v>1412.7959999999998</v>
      </c>
      <c r="AB14" s="25">
        <f t="shared" si="15"/>
        <v>0</v>
      </c>
      <c r="AC14" s="10">
        <v>1</v>
      </c>
      <c r="AD14" s="11">
        <f t="shared" si="4"/>
        <v>0</v>
      </c>
      <c r="AE14" s="12"/>
      <c r="AF14" s="13">
        <f t="shared" si="5"/>
        <v>0</v>
      </c>
      <c r="AG14" s="12">
        <f t="shared" si="6"/>
        <v>1412.7959999999998</v>
      </c>
      <c r="AH14" s="12">
        <f t="shared" si="21"/>
        <v>0</v>
      </c>
    </row>
    <row r="15" spans="1:34" ht="15.75" thickBot="1" x14ac:dyDescent="0.3">
      <c r="A15" s="2">
        <v>6</v>
      </c>
      <c r="B15" s="158"/>
      <c r="C15" s="93">
        <v>0</v>
      </c>
      <c r="D15" s="61">
        <f>C15*V15</f>
        <v>0</v>
      </c>
      <c r="E15" s="7">
        <f t="shared" si="7"/>
        <v>0</v>
      </c>
      <c r="F15" s="22">
        <v>0.2</v>
      </c>
      <c r="G15" s="20">
        <f t="shared" si="17"/>
        <v>0</v>
      </c>
      <c r="H15" s="23">
        <v>8.9999999999999993E-3</v>
      </c>
      <c r="I15" s="20">
        <f t="shared" si="18"/>
        <v>0</v>
      </c>
      <c r="J15" s="20">
        <f t="shared" si="19"/>
        <v>0</v>
      </c>
      <c r="K15" s="20">
        <f t="shared" si="20"/>
        <v>0</v>
      </c>
      <c r="L15" s="20">
        <f t="shared" si="8"/>
        <v>0</v>
      </c>
      <c r="M15" s="82">
        <v>0.3</v>
      </c>
      <c r="N15" s="20">
        <f t="shared" si="9"/>
        <v>0</v>
      </c>
      <c r="O15" s="20">
        <f t="shared" si="10"/>
        <v>0</v>
      </c>
      <c r="P15" s="20">
        <f t="shared" si="11"/>
        <v>0</v>
      </c>
      <c r="Q15" s="5">
        <v>0.21</v>
      </c>
      <c r="R15" s="20">
        <f t="shared" si="12"/>
        <v>0</v>
      </c>
      <c r="S15" s="102">
        <f t="shared" si="0"/>
        <v>0</v>
      </c>
      <c r="T15" s="103"/>
      <c r="U15" s="20">
        <f t="shared" si="13"/>
        <v>0</v>
      </c>
      <c r="V15" s="83">
        <v>1</v>
      </c>
      <c r="W15" s="24">
        <f t="shared" si="14"/>
        <v>0</v>
      </c>
      <c r="X15" s="8">
        <f t="shared" si="1"/>
        <v>0.42</v>
      </c>
      <c r="Y15" s="8">
        <f t="shared" si="2"/>
        <v>1167.5999999999999</v>
      </c>
      <c r="Z15" s="9">
        <f>C15*Z9</f>
        <v>0</v>
      </c>
      <c r="AA15" s="8">
        <f t="shared" si="3"/>
        <v>1412.7959999999998</v>
      </c>
      <c r="AB15" s="25">
        <f t="shared" si="15"/>
        <v>0</v>
      </c>
      <c r="AC15" s="10">
        <v>1</v>
      </c>
      <c r="AD15" s="11">
        <f t="shared" si="4"/>
        <v>0</v>
      </c>
      <c r="AE15" s="12"/>
      <c r="AF15" s="13">
        <f t="shared" si="5"/>
        <v>0</v>
      </c>
      <c r="AG15" s="12">
        <f t="shared" si="6"/>
        <v>1412.7959999999998</v>
      </c>
      <c r="AH15" s="12">
        <f>(+C15+R15)*V15</f>
        <v>0</v>
      </c>
    </row>
    <row r="16" spans="1:34" ht="15.75" thickBot="1" x14ac:dyDescent="0.3">
      <c r="A16" s="2">
        <v>7</v>
      </c>
      <c r="B16" s="158"/>
      <c r="C16" s="93">
        <v>0</v>
      </c>
      <c r="D16" s="61">
        <f>C16*V16</f>
        <v>0</v>
      </c>
      <c r="E16" s="7">
        <f t="shared" si="7"/>
        <v>0</v>
      </c>
      <c r="F16" s="22">
        <v>0.2</v>
      </c>
      <c r="G16" s="20">
        <f t="shared" si="17"/>
        <v>0</v>
      </c>
      <c r="H16" s="23">
        <v>8.9999999999999993E-3</v>
      </c>
      <c r="I16" s="20">
        <f t="shared" si="18"/>
        <v>0</v>
      </c>
      <c r="J16" s="20">
        <f t="shared" si="19"/>
        <v>0</v>
      </c>
      <c r="K16" s="20">
        <f t="shared" si="20"/>
        <v>0</v>
      </c>
      <c r="L16" s="20">
        <f t="shared" si="8"/>
        <v>0</v>
      </c>
      <c r="M16" s="82">
        <v>0.3</v>
      </c>
      <c r="N16" s="20">
        <f t="shared" si="9"/>
        <v>0</v>
      </c>
      <c r="O16" s="20">
        <f t="shared" si="10"/>
        <v>0</v>
      </c>
      <c r="P16" s="20">
        <f t="shared" si="11"/>
        <v>0</v>
      </c>
      <c r="Q16" s="5">
        <v>0.21</v>
      </c>
      <c r="R16" s="20">
        <f t="shared" si="12"/>
        <v>0</v>
      </c>
      <c r="S16" s="102">
        <f t="shared" si="0"/>
        <v>0</v>
      </c>
      <c r="T16" s="103"/>
      <c r="U16" s="20">
        <f t="shared" si="13"/>
        <v>0</v>
      </c>
      <c r="V16" s="83">
        <v>1</v>
      </c>
      <c r="W16" s="24">
        <f t="shared" si="14"/>
        <v>0</v>
      </c>
      <c r="X16" s="8">
        <f t="shared" si="1"/>
        <v>0.42</v>
      </c>
      <c r="Y16" s="8">
        <f t="shared" si="2"/>
        <v>1167.5999999999999</v>
      </c>
      <c r="Z16" s="9">
        <f>C16*Z9</f>
        <v>0</v>
      </c>
      <c r="AA16" s="8">
        <f t="shared" si="3"/>
        <v>1412.7959999999998</v>
      </c>
      <c r="AB16" s="25">
        <f t="shared" si="15"/>
        <v>0</v>
      </c>
      <c r="AC16" s="10">
        <v>1</v>
      </c>
      <c r="AD16" s="11">
        <f t="shared" si="4"/>
        <v>0</v>
      </c>
      <c r="AE16" s="12">
        <f t="shared" ref="AE16:AE28" si="22">+N16*V16</f>
        <v>0</v>
      </c>
      <c r="AF16" s="13">
        <f t="shared" si="5"/>
        <v>0</v>
      </c>
      <c r="AG16" s="12">
        <f t="shared" si="6"/>
        <v>1412.7959999999998</v>
      </c>
      <c r="AH16" s="12">
        <f>(+C16+R16)*V16</f>
        <v>0</v>
      </c>
    </row>
    <row r="17" spans="1:34" ht="15.75" thickBot="1" x14ac:dyDescent="0.3">
      <c r="A17" s="2">
        <v>8</v>
      </c>
      <c r="B17" s="158"/>
      <c r="C17" s="93">
        <v>0</v>
      </c>
      <c r="D17" s="61">
        <f t="shared" si="16"/>
        <v>0</v>
      </c>
      <c r="E17" s="7">
        <f t="shared" si="7"/>
        <v>0</v>
      </c>
      <c r="F17" s="22">
        <v>0.2</v>
      </c>
      <c r="G17" s="20">
        <f t="shared" si="17"/>
        <v>0</v>
      </c>
      <c r="H17" s="23">
        <v>8.9999999999999993E-3</v>
      </c>
      <c r="I17" s="20">
        <f t="shared" si="18"/>
        <v>0</v>
      </c>
      <c r="J17" s="20">
        <f t="shared" si="19"/>
        <v>0</v>
      </c>
      <c r="K17" s="20">
        <f t="shared" si="20"/>
        <v>0</v>
      </c>
      <c r="L17" s="20">
        <f t="shared" si="8"/>
        <v>0</v>
      </c>
      <c r="M17" s="82">
        <v>0.3</v>
      </c>
      <c r="N17" s="20">
        <f t="shared" si="9"/>
        <v>0</v>
      </c>
      <c r="O17" s="20">
        <f t="shared" si="10"/>
        <v>0</v>
      </c>
      <c r="P17" s="20">
        <f t="shared" si="11"/>
        <v>0</v>
      </c>
      <c r="Q17" s="5">
        <v>0.21</v>
      </c>
      <c r="R17" s="20">
        <f t="shared" si="12"/>
        <v>0</v>
      </c>
      <c r="S17" s="102">
        <f t="shared" si="0"/>
        <v>0</v>
      </c>
      <c r="T17" s="103"/>
      <c r="U17" s="20">
        <f t="shared" si="13"/>
        <v>0</v>
      </c>
      <c r="V17" s="83">
        <v>1</v>
      </c>
      <c r="W17" s="24">
        <f t="shared" si="14"/>
        <v>0</v>
      </c>
      <c r="X17" s="8">
        <f t="shared" si="1"/>
        <v>0.42</v>
      </c>
      <c r="Y17" s="8">
        <f t="shared" si="2"/>
        <v>1167.5999999999999</v>
      </c>
      <c r="Z17" s="9">
        <f>C17*Z9</f>
        <v>0</v>
      </c>
      <c r="AA17" s="8">
        <f t="shared" si="3"/>
        <v>1412.7959999999998</v>
      </c>
      <c r="AB17" s="25">
        <f t="shared" si="15"/>
        <v>0</v>
      </c>
      <c r="AC17" s="10">
        <v>1</v>
      </c>
      <c r="AD17" s="11">
        <f t="shared" si="4"/>
        <v>0</v>
      </c>
      <c r="AE17" s="12">
        <f t="shared" si="22"/>
        <v>0</v>
      </c>
      <c r="AF17" s="13">
        <f t="shared" si="5"/>
        <v>0</v>
      </c>
      <c r="AG17" s="12">
        <f t="shared" si="6"/>
        <v>1412.7959999999998</v>
      </c>
      <c r="AH17" s="12">
        <f t="shared" si="21"/>
        <v>0</v>
      </c>
    </row>
    <row r="18" spans="1:34" ht="15.75" thickBot="1" x14ac:dyDescent="0.3">
      <c r="A18" s="2">
        <v>9</v>
      </c>
      <c r="B18" s="92"/>
      <c r="C18" s="93">
        <v>0</v>
      </c>
      <c r="D18" s="61">
        <f t="shared" si="16"/>
        <v>0</v>
      </c>
      <c r="E18" s="7">
        <f t="shared" si="7"/>
        <v>0</v>
      </c>
      <c r="F18" s="22">
        <v>0.2</v>
      </c>
      <c r="G18" s="20">
        <f t="shared" si="17"/>
        <v>0</v>
      </c>
      <c r="H18" s="23">
        <v>8.9999999999999993E-3</v>
      </c>
      <c r="I18" s="20">
        <f t="shared" si="18"/>
        <v>0</v>
      </c>
      <c r="J18" s="20">
        <f t="shared" si="19"/>
        <v>0</v>
      </c>
      <c r="K18" s="20">
        <f t="shared" si="20"/>
        <v>0</v>
      </c>
      <c r="L18" s="20">
        <f t="shared" si="8"/>
        <v>0</v>
      </c>
      <c r="M18" s="82">
        <v>0.3</v>
      </c>
      <c r="N18" s="20">
        <f t="shared" si="9"/>
        <v>0</v>
      </c>
      <c r="O18" s="20">
        <f t="shared" si="10"/>
        <v>0</v>
      </c>
      <c r="P18" s="20">
        <f t="shared" si="11"/>
        <v>0</v>
      </c>
      <c r="Q18" s="5">
        <v>0.21</v>
      </c>
      <c r="R18" s="20">
        <f t="shared" si="12"/>
        <v>0</v>
      </c>
      <c r="S18" s="102">
        <f t="shared" si="0"/>
        <v>0</v>
      </c>
      <c r="T18" s="103"/>
      <c r="U18" s="20">
        <f t="shared" si="13"/>
        <v>0</v>
      </c>
      <c r="V18" s="83">
        <v>1</v>
      </c>
      <c r="W18" s="24">
        <f t="shared" si="14"/>
        <v>0</v>
      </c>
      <c r="X18" s="8">
        <f t="shared" si="1"/>
        <v>0.42</v>
      </c>
      <c r="Y18" s="8">
        <f t="shared" si="2"/>
        <v>1167.5999999999999</v>
      </c>
      <c r="Z18" s="9">
        <f>C18*Z9</f>
        <v>0</v>
      </c>
      <c r="AA18" s="8">
        <f t="shared" si="3"/>
        <v>1412.7959999999998</v>
      </c>
      <c r="AB18" s="25">
        <f t="shared" si="15"/>
        <v>0</v>
      </c>
      <c r="AC18" s="10">
        <v>1</v>
      </c>
      <c r="AD18" s="11">
        <f t="shared" si="4"/>
        <v>0</v>
      </c>
      <c r="AE18" s="12">
        <f t="shared" si="22"/>
        <v>0</v>
      </c>
      <c r="AF18" s="13">
        <f t="shared" si="5"/>
        <v>0</v>
      </c>
      <c r="AG18" s="12">
        <f t="shared" si="6"/>
        <v>1412.7959999999998</v>
      </c>
      <c r="AH18" s="12">
        <f t="shared" si="21"/>
        <v>0</v>
      </c>
    </row>
    <row r="19" spans="1:34" ht="15.75" thickBot="1" x14ac:dyDescent="0.3">
      <c r="A19" s="2">
        <v>10</v>
      </c>
      <c r="B19" s="97"/>
      <c r="C19" s="93">
        <v>0</v>
      </c>
      <c r="D19" s="61">
        <f t="shared" si="16"/>
        <v>0</v>
      </c>
      <c r="E19" s="7">
        <f t="shared" si="7"/>
        <v>0</v>
      </c>
      <c r="F19" s="22">
        <v>0.2</v>
      </c>
      <c r="G19" s="20">
        <f t="shared" si="17"/>
        <v>0</v>
      </c>
      <c r="H19" s="23">
        <v>8.9999999999999993E-3</v>
      </c>
      <c r="I19" s="20">
        <f t="shared" si="18"/>
        <v>0</v>
      </c>
      <c r="J19" s="20">
        <f t="shared" si="19"/>
        <v>0</v>
      </c>
      <c r="K19" s="20">
        <f t="shared" si="20"/>
        <v>0</v>
      </c>
      <c r="L19" s="20">
        <f t="shared" si="8"/>
        <v>0</v>
      </c>
      <c r="M19" s="82">
        <v>0.3</v>
      </c>
      <c r="N19" s="20">
        <f t="shared" si="9"/>
        <v>0</v>
      </c>
      <c r="O19" s="20">
        <f t="shared" si="10"/>
        <v>0</v>
      </c>
      <c r="P19" s="20">
        <f t="shared" si="11"/>
        <v>0</v>
      </c>
      <c r="Q19" s="5">
        <v>0.21</v>
      </c>
      <c r="R19" s="20">
        <f t="shared" si="12"/>
        <v>0</v>
      </c>
      <c r="S19" s="102">
        <f t="shared" si="0"/>
        <v>0</v>
      </c>
      <c r="T19" s="103"/>
      <c r="U19" s="20">
        <f t="shared" si="13"/>
        <v>0</v>
      </c>
      <c r="V19" s="83">
        <v>1</v>
      </c>
      <c r="W19" s="24">
        <f t="shared" si="14"/>
        <v>0</v>
      </c>
      <c r="X19" s="8">
        <f t="shared" si="1"/>
        <v>0.42</v>
      </c>
      <c r="Y19" s="8">
        <f>+X19*2780</f>
        <v>1167.5999999999999</v>
      </c>
      <c r="Z19" s="9">
        <f>C19*Z9</f>
        <v>0</v>
      </c>
      <c r="AA19" s="8">
        <f>+(Y19+Z19)*1.21</f>
        <v>1412.7959999999998</v>
      </c>
      <c r="AB19" s="25">
        <f t="shared" si="15"/>
        <v>0</v>
      </c>
      <c r="AC19" s="10">
        <v>1</v>
      </c>
      <c r="AD19" s="11">
        <f>+AB19*AC19</f>
        <v>0</v>
      </c>
      <c r="AE19" s="12">
        <f t="shared" si="22"/>
        <v>0</v>
      </c>
      <c r="AF19" s="13">
        <f t="shared" si="5"/>
        <v>0</v>
      </c>
      <c r="AG19" s="12">
        <f>+AA19*AC19</f>
        <v>1412.7959999999998</v>
      </c>
      <c r="AH19" s="12">
        <f t="shared" si="21"/>
        <v>0</v>
      </c>
    </row>
    <row r="20" spans="1:34" ht="15.75" thickBot="1" x14ac:dyDescent="0.3">
      <c r="A20" s="2">
        <v>11</v>
      </c>
      <c r="B20" s="92"/>
      <c r="C20" s="93">
        <v>0</v>
      </c>
      <c r="D20" s="61">
        <f t="shared" si="16"/>
        <v>0</v>
      </c>
      <c r="E20" s="7">
        <f t="shared" si="7"/>
        <v>0</v>
      </c>
      <c r="F20" s="22">
        <v>0.2</v>
      </c>
      <c r="G20" s="20">
        <f t="shared" si="17"/>
        <v>0</v>
      </c>
      <c r="H20" s="23">
        <v>8.9999999999999993E-3</v>
      </c>
      <c r="I20" s="20">
        <f t="shared" si="18"/>
        <v>0</v>
      </c>
      <c r="J20" s="20">
        <f t="shared" si="19"/>
        <v>0</v>
      </c>
      <c r="K20" s="20">
        <f t="shared" si="20"/>
        <v>0</v>
      </c>
      <c r="L20" s="20">
        <f t="shared" si="8"/>
        <v>0</v>
      </c>
      <c r="M20" s="82">
        <v>0.3</v>
      </c>
      <c r="N20" s="20">
        <f t="shared" si="9"/>
        <v>0</v>
      </c>
      <c r="O20" s="20">
        <f t="shared" si="10"/>
        <v>0</v>
      </c>
      <c r="P20" s="20">
        <f t="shared" si="11"/>
        <v>0</v>
      </c>
      <c r="Q20" s="5">
        <v>0.21</v>
      </c>
      <c r="R20" s="20">
        <f t="shared" si="12"/>
        <v>0</v>
      </c>
      <c r="S20" s="102">
        <f t="shared" si="0"/>
        <v>0</v>
      </c>
      <c r="T20" s="103"/>
      <c r="U20" s="20">
        <f t="shared" si="13"/>
        <v>0</v>
      </c>
      <c r="V20" s="83">
        <v>1</v>
      </c>
      <c r="W20" s="24">
        <f t="shared" si="14"/>
        <v>0</v>
      </c>
      <c r="X20" s="8">
        <f t="shared" si="1"/>
        <v>0.42</v>
      </c>
      <c r="Y20" s="8">
        <f t="shared" ref="Y20:Y29" si="23">+X20*2780</f>
        <v>1167.5999999999999</v>
      </c>
      <c r="Z20" s="9">
        <f>C20*Z9</f>
        <v>0</v>
      </c>
      <c r="AA20" s="8">
        <f t="shared" ref="AA20:AA29" si="24">+(Y20+Z20)*1.21</f>
        <v>1412.7959999999998</v>
      </c>
      <c r="AB20" s="25">
        <f t="shared" si="15"/>
        <v>0</v>
      </c>
      <c r="AC20" s="10">
        <v>1</v>
      </c>
      <c r="AD20" s="11">
        <f t="shared" ref="AD20:AD29" si="25">+AB20*AC20</f>
        <v>0</v>
      </c>
      <c r="AE20" s="12">
        <f t="shared" si="22"/>
        <v>0</v>
      </c>
      <c r="AF20" s="13">
        <f t="shared" si="5"/>
        <v>0</v>
      </c>
      <c r="AG20" s="12">
        <f t="shared" ref="AG20:AG29" si="26">+AA20*AC20</f>
        <v>1412.7959999999998</v>
      </c>
      <c r="AH20" s="12">
        <f t="shared" si="21"/>
        <v>0</v>
      </c>
    </row>
    <row r="21" spans="1:34" ht="15.75" thickBot="1" x14ac:dyDescent="0.3">
      <c r="A21" s="2">
        <v>12</v>
      </c>
      <c r="B21" s="97"/>
      <c r="C21" s="93">
        <v>0</v>
      </c>
      <c r="D21" s="61">
        <f t="shared" si="16"/>
        <v>0</v>
      </c>
      <c r="E21" s="7">
        <f t="shared" si="7"/>
        <v>0</v>
      </c>
      <c r="F21" s="22">
        <v>0.2</v>
      </c>
      <c r="G21" s="20">
        <f t="shared" si="17"/>
        <v>0</v>
      </c>
      <c r="H21" s="23">
        <v>8.9999999999999993E-3</v>
      </c>
      <c r="I21" s="20">
        <f t="shared" si="18"/>
        <v>0</v>
      </c>
      <c r="J21" s="20">
        <f t="shared" si="19"/>
        <v>0</v>
      </c>
      <c r="K21" s="20">
        <f t="shared" si="20"/>
        <v>0</v>
      </c>
      <c r="L21" s="20">
        <f t="shared" si="8"/>
        <v>0</v>
      </c>
      <c r="M21" s="82">
        <v>0.3</v>
      </c>
      <c r="N21" s="20">
        <f t="shared" si="9"/>
        <v>0</v>
      </c>
      <c r="O21" s="20">
        <f t="shared" si="10"/>
        <v>0</v>
      </c>
      <c r="P21" s="20">
        <f t="shared" si="11"/>
        <v>0</v>
      </c>
      <c r="Q21" s="5">
        <v>0.21</v>
      </c>
      <c r="R21" s="20">
        <f t="shared" si="12"/>
        <v>0</v>
      </c>
      <c r="S21" s="102">
        <f t="shared" si="0"/>
        <v>0</v>
      </c>
      <c r="T21" s="103"/>
      <c r="U21" s="20">
        <f t="shared" si="13"/>
        <v>0</v>
      </c>
      <c r="V21" s="83">
        <v>1</v>
      </c>
      <c r="W21" s="24">
        <f t="shared" si="14"/>
        <v>0</v>
      </c>
      <c r="X21" s="8">
        <f t="shared" si="1"/>
        <v>0.42</v>
      </c>
      <c r="Y21" s="8">
        <f t="shared" si="23"/>
        <v>1167.5999999999999</v>
      </c>
      <c r="Z21" s="9">
        <f>C21*Z9</f>
        <v>0</v>
      </c>
      <c r="AA21" s="8">
        <f t="shared" si="24"/>
        <v>1412.7959999999998</v>
      </c>
      <c r="AB21" s="25">
        <f t="shared" si="15"/>
        <v>0</v>
      </c>
      <c r="AC21" s="10">
        <v>1</v>
      </c>
      <c r="AD21" s="11">
        <f t="shared" si="25"/>
        <v>0</v>
      </c>
      <c r="AE21" s="12">
        <f t="shared" si="22"/>
        <v>0</v>
      </c>
      <c r="AF21" s="13">
        <f t="shared" si="5"/>
        <v>0</v>
      </c>
      <c r="AG21" s="12">
        <f t="shared" si="26"/>
        <v>1412.7959999999998</v>
      </c>
      <c r="AH21" s="12">
        <f t="shared" si="21"/>
        <v>0</v>
      </c>
    </row>
    <row r="22" spans="1:34" ht="15.75" thickBot="1" x14ac:dyDescent="0.3">
      <c r="A22" s="2">
        <v>13</v>
      </c>
      <c r="B22" s="97"/>
      <c r="C22" s="93">
        <v>0</v>
      </c>
      <c r="D22" s="61">
        <f t="shared" si="16"/>
        <v>0</v>
      </c>
      <c r="E22" s="7">
        <f t="shared" si="7"/>
        <v>0</v>
      </c>
      <c r="F22" s="22">
        <v>0.2</v>
      </c>
      <c r="G22" s="20">
        <f t="shared" si="17"/>
        <v>0</v>
      </c>
      <c r="H22" s="23">
        <v>8.9999999999999993E-3</v>
      </c>
      <c r="I22" s="20">
        <f t="shared" si="18"/>
        <v>0</v>
      </c>
      <c r="J22" s="20">
        <f t="shared" si="19"/>
        <v>0</v>
      </c>
      <c r="K22" s="20">
        <f t="shared" si="20"/>
        <v>0</v>
      </c>
      <c r="L22" s="20">
        <f t="shared" si="8"/>
        <v>0</v>
      </c>
      <c r="M22" s="82">
        <v>0.3</v>
      </c>
      <c r="N22" s="20">
        <f t="shared" si="9"/>
        <v>0</v>
      </c>
      <c r="O22" s="20">
        <f t="shared" si="10"/>
        <v>0</v>
      </c>
      <c r="P22" s="20">
        <f t="shared" si="11"/>
        <v>0</v>
      </c>
      <c r="Q22" s="5">
        <v>0.21</v>
      </c>
      <c r="R22" s="20">
        <f t="shared" si="12"/>
        <v>0</v>
      </c>
      <c r="S22" s="102">
        <f t="shared" si="0"/>
        <v>0</v>
      </c>
      <c r="T22" s="103"/>
      <c r="U22" s="20">
        <f t="shared" si="13"/>
        <v>0</v>
      </c>
      <c r="V22" s="83">
        <v>1</v>
      </c>
      <c r="W22" s="24">
        <f t="shared" si="14"/>
        <v>0</v>
      </c>
      <c r="X22" s="8">
        <f t="shared" si="1"/>
        <v>0.42</v>
      </c>
      <c r="Y22" s="8">
        <f t="shared" si="23"/>
        <v>1167.5999999999999</v>
      </c>
      <c r="Z22" s="9">
        <f>C22*Z9</f>
        <v>0</v>
      </c>
      <c r="AA22" s="8">
        <f t="shared" si="24"/>
        <v>1412.7959999999998</v>
      </c>
      <c r="AB22" s="25">
        <f t="shared" si="15"/>
        <v>0</v>
      </c>
      <c r="AC22" s="10">
        <v>1</v>
      </c>
      <c r="AD22" s="11">
        <f t="shared" si="25"/>
        <v>0</v>
      </c>
      <c r="AE22" s="12">
        <f t="shared" si="22"/>
        <v>0</v>
      </c>
      <c r="AF22" s="13">
        <f t="shared" si="5"/>
        <v>0</v>
      </c>
      <c r="AG22" s="12">
        <f t="shared" si="26"/>
        <v>1412.7959999999998</v>
      </c>
      <c r="AH22" s="12">
        <f t="shared" si="21"/>
        <v>0</v>
      </c>
    </row>
    <row r="23" spans="1:34" ht="15.75" thickBot="1" x14ac:dyDescent="0.3">
      <c r="A23" s="2">
        <v>14</v>
      </c>
      <c r="B23" s="97"/>
      <c r="C23" s="93">
        <v>0</v>
      </c>
      <c r="D23" s="61">
        <f t="shared" si="16"/>
        <v>0</v>
      </c>
      <c r="E23" s="7">
        <f t="shared" si="7"/>
        <v>0</v>
      </c>
      <c r="F23" s="22">
        <v>0.2</v>
      </c>
      <c r="G23" s="20">
        <f t="shared" si="17"/>
        <v>0</v>
      </c>
      <c r="H23" s="23">
        <v>8.9999999999999993E-3</v>
      </c>
      <c r="I23" s="20">
        <f t="shared" si="18"/>
        <v>0</v>
      </c>
      <c r="J23" s="20">
        <f t="shared" si="19"/>
        <v>0</v>
      </c>
      <c r="K23" s="20">
        <f t="shared" si="20"/>
        <v>0</v>
      </c>
      <c r="L23" s="20">
        <f t="shared" si="8"/>
        <v>0</v>
      </c>
      <c r="M23" s="82">
        <v>0.3</v>
      </c>
      <c r="N23" s="20">
        <f t="shared" si="9"/>
        <v>0</v>
      </c>
      <c r="O23" s="20">
        <f t="shared" si="10"/>
        <v>0</v>
      </c>
      <c r="P23" s="20">
        <f t="shared" si="11"/>
        <v>0</v>
      </c>
      <c r="Q23" s="5">
        <v>0.21</v>
      </c>
      <c r="R23" s="20">
        <f t="shared" si="12"/>
        <v>0</v>
      </c>
      <c r="S23" s="102">
        <f t="shared" si="0"/>
        <v>0</v>
      </c>
      <c r="T23" s="103"/>
      <c r="U23" s="20">
        <f t="shared" si="13"/>
        <v>0</v>
      </c>
      <c r="V23" s="83">
        <v>1</v>
      </c>
      <c r="W23" s="24">
        <f t="shared" si="14"/>
        <v>0</v>
      </c>
      <c r="X23" s="8">
        <f t="shared" si="1"/>
        <v>0.42</v>
      </c>
      <c r="Y23" s="8">
        <f t="shared" si="23"/>
        <v>1167.5999999999999</v>
      </c>
      <c r="Z23" s="9">
        <f>C23*Z9</f>
        <v>0</v>
      </c>
      <c r="AA23" s="8">
        <f t="shared" si="24"/>
        <v>1412.7959999999998</v>
      </c>
      <c r="AB23" s="25">
        <f t="shared" si="15"/>
        <v>0</v>
      </c>
      <c r="AC23" s="10">
        <v>1</v>
      </c>
      <c r="AD23" s="11">
        <f t="shared" si="25"/>
        <v>0</v>
      </c>
      <c r="AE23" s="12">
        <f t="shared" si="22"/>
        <v>0</v>
      </c>
      <c r="AF23" s="13">
        <f t="shared" si="5"/>
        <v>0</v>
      </c>
      <c r="AG23" s="12">
        <f t="shared" si="26"/>
        <v>1412.7959999999998</v>
      </c>
      <c r="AH23" s="12">
        <f t="shared" si="21"/>
        <v>0</v>
      </c>
    </row>
    <row r="24" spans="1:34" ht="15.75" thickBot="1" x14ac:dyDescent="0.3">
      <c r="A24" s="2">
        <v>15</v>
      </c>
      <c r="B24" s="97"/>
      <c r="C24" s="93">
        <v>0</v>
      </c>
      <c r="D24" s="61">
        <f t="shared" si="16"/>
        <v>0</v>
      </c>
      <c r="E24" s="7">
        <f t="shared" si="7"/>
        <v>0</v>
      </c>
      <c r="F24" s="22">
        <v>0.2</v>
      </c>
      <c r="G24" s="20">
        <f t="shared" si="17"/>
        <v>0</v>
      </c>
      <c r="H24" s="23">
        <v>8.9999999999999993E-3</v>
      </c>
      <c r="I24" s="20">
        <f t="shared" si="18"/>
        <v>0</v>
      </c>
      <c r="J24" s="20">
        <f t="shared" si="19"/>
        <v>0</v>
      </c>
      <c r="K24" s="20">
        <f t="shared" si="20"/>
        <v>0</v>
      </c>
      <c r="L24" s="20">
        <f t="shared" si="8"/>
        <v>0</v>
      </c>
      <c r="M24" s="82">
        <v>0.3</v>
      </c>
      <c r="N24" s="20">
        <f t="shared" si="9"/>
        <v>0</v>
      </c>
      <c r="O24" s="20">
        <f t="shared" si="10"/>
        <v>0</v>
      </c>
      <c r="P24" s="20">
        <f t="shared" si="11"/>
        <v>0</v>
      </c>
      <c r="Q24" s="5">
        <v>0.21</v>
      </c>
      <c r="R24" s="20">
        <f t="shared" si="12"/>
        <v>0</v>
      </c>
      <c r="S24" s="102">
        <f t="shared" si="0"/>
        <v>0</v>
      </c>
      <c r="T24" s="103"/>
      <c r="U24" s="20">
        <f t="shared" si="13"/>
        <v>0</v>
      </c>
      <c r="V24" s="83">
        <v>1</v>
      </c>
      <c r="W24" s="24">
        <f t="shared" si="14"/>
        <v>0</v>
      </c>
      <c r="X24" s="8">
        <f t="shared" si="1"/>
        <v>0.42</v>
      </c>
      <c r="Y24" s="8">
        <f t="shared" si="23"/>
        <v>1167.5999999999999</v>
      </c>
      <c r="Z24" s="9">
        <f>C24*Z9</f>
        <v>0</v>
      </c>
      <c r="AA24" s="8">
        <f t="shared" si="24"/>
        <v>1412.7959999999998</v>
      </c>
      <c r="AB24" s="25">
        <f t="shared" si="15"/>
        <v>0</v>
      </c>
      <c r="AC24" s="10">
        <v>1</v>
      </c>
      <c r="AD24" s="11">
        <f t="shared" si="25"/>
        <v>0</v>
      </c>
      <c r="AE24" s="12">
        <f t="shared" si="22"/>
        <v>0</v>
      </c>
      <c r="AF24" s="13">
        <f t="shared" si="5"/>
        <v>0</v>
      </c>
      <c r="AG24" s="12">
        <f t="shared" si="26"/>
        <v>1412.7959999999998</v>
      </c>
      <c r="AH24" s="12">
        <f t="shared" si="21"/>
        <v>0</v>
      </c>
    </row>
    <row r="25" spans="1:34" ht="15.75" thickBot="1" x14ac:dyDescent="0.3">
      <c r="A25" s="2">
        <v>16</v>
      </c>
      <c r="B25" s="97"/>
      <c r="C25" s="93">
        <v>0</v>
      </c>
      <c r="D25" s="61">
        <f t="shared" si="16"/>
        <v>0</v>
      </c>
      <c r="E25" s="7">
        <f t="shared" si="7"/>
        <v>0</v>
      </c>
      <c r="F25" s="22">
        <v>0.2</v>
      </c>
      <c r="G25" s="20">
        <f t="shared" si="17"/>
        <v>0</v>
      </c>
      <c r="H25" s="23">
        <v>8.9999999999999993E-3</v>
      </c>
      <c r="I25" s="20">
        <f t="shared" si="18"/>
        <v>0</v>
      </c>
      <c r="J25" s="20">
        <f t="shared" si="19"/>
        <v>0</v>
      </c>
      <c r="K25" s="20">
        <f t="shared" si="20"/>
        <v>0</v>
      </c>
      <c r="L25" s="20">
        <f t="shared" si="8"/>
        <v>0</v>
      </c>
      <c r="M25" s="82">
        <v>0.3</v>
      </c>
      <c r="N25" s="20">
        <f t="shared" si="9"/>
        <v>0</v>
      </c>
      <c r="O25" s="20">
        <f t="shared" si="10"/>
        <v>0</v>
      </c>
      <c r="P25" s="20">
        <f t="shared" si="11"/>
        <v>0</v>
      </c>
      <c r="Q25" s="5">
        <v>0.21</v>
      </c>
      <c r="R25" s="20">
        <f t="shared" si="12"/>
        <v>0</v>
      </c>
      <c r="S25" s="102">
        <f t="shared" si="0"/>
        <v>0</v>
      </c>
      <c r="T25" s="103"/>
      <c r="U25" s="20">
        <f t="shared" si="13"/>
        <v>0</v>
      </c>
      <c r="V25" s="83">
        <v>1</v>
      </c>
      <c r="W25" s="24">
        <f t="shared" si="14"/>
        <v>0</v>
      </c>
      <c r="X25" s="8">
        <f t="shared" si="1"/>
        <v>0.42</v>
      </c>
      <c r="Y25" s="8">
        <f t="shared" si="23"/>
        <v>1167.5999999999999</v>
      </c>
      <c r="Z25" s="9">
        <f>C25*Z9</f>
        <v>0</v>
      </c>
      <c r="AA25" s="8">
        <f t="shared" si="24"/>
        <v>1412.7959999999998</v>
      </c>
      <c r="AB25" s="25">
        <f t="shared" si="15"/>
        <v>0</v>
      </c>
      <c r="AC25" s="10">
        <v>1</v>
      </c>
      <c r="AD25" s="11">
        <f t="shared" si="25"/>
        <v>0</v>
      </c>
      <c r="AE25" s="12">
        <f t="shared" si="22"/>
        <v>0</v>
      </c>
      <c r="AF25" s="13">
        <f t="shared" si="5"/>
        <v>0</v>
      </c>
      <c r="AG25" s="12">
        <f t="shared" si="26"/>
        <v>1412.7959999999998</v>
      </c>
      <c r="AH25" s="12">
        <f t="shared" si="21"/>
        <v>0</v>
      </c>
    </row>
    <row r="26" spans="1:34" ht="15.75" thickBot="1" x14ac:dyDescent="0.3">
      <c r="A26" s="2">
        <v>17</v>
      </c>
      <c r="B26" s="97"/>
      <c r="C26" s="93">
        <v>0</v>
      </c>
      <c r="D26" s="61">
        <f t="shared" si="16"/>
        <v>0</v>
      </c>
      <c r="E26" s="7">
        <f t="shared" si="7"/>
        <v>0</v>
      </c>
      <c r="F26" s="22">
        <v>0.2</v>
      </c>
      <c r="G26" s="20">
        <f t="shared" si="17"/>
        <v>0</v>
      </c>
      <c r="H26" s="23">
        <v>8.9999999999999993E-3</v>
      </c>
      <c r="I26" s="20">
        <f t="shared" si="18"/>
        <v>0</v>
      </c>
      <c r="J26" s="20">
        <f t="shared" si="19"/>
        <v>0</v>
      </c>
      <c r="K26" s="20">
        <f t="shared" si="20"/>
        <v>0</v>
      </c>
      <c r="L26" s="20">
        <f t="shared" si="8"/>
        <v>0</v>
      </c>
      <c r="M26" s="82">
        <v>0.3</v>
      </c>
      <c r="N26" s="20">
        <f t="shared" si="9"/>
        <v>0</v>
      </c>
      <c r="O26" s="20">
        <f t="shared" si="10"/>
        <v>0</v>
      </c>
      <c r="P26" s="20">
        <f t="shared" si="11"/>
        <v>0</v>
      </c>
      <c r="Q26" s="5">
        <v>0.21</v>
      </c>
      <c r="R26" s="20">
        <f t="shared" si="12"/>
        <v>0</v>
      </c>
      <c r="S26" s="102">
        <f t="shared" si="0"/>
        <v>0</v>
      </c>
      <c r="T26" s="103"/>
      <c r="U26" s="20">
        <f t="shared" si="13"/>
        <v>0</v>
      </c>
      <c r="V26" s="83">
        <v>1</v>
      </c>
      <c r="W26" s="24">
        <f t="shared" si="14"/>
        <v>0</v>
      </c>
      <c r="X26" s="8">
        <f t="shared" si="1"/>
        <v>0.42</v>
      </c>
      <c r="Y26" s="8">
        <f t="shared" si="23"/>
        <v>1167.5999999999999</v>
      </c>
      <c r="Z26" s="9">
        <f>C26*Z9</f>
        <v>0</v>
      </c>
      <c r="AA26" s="8">
        <f t="shared" si="24"/>
        <v>1412.7959999999998</v>
      </c>
      <c r="AB26" s="25">
        <f t="shared" si="15"/>
        <v>0</v>
      </c>
      <c r="AC26" s="10">
        <v>1</v>
      </c>
      <c r="AD26" s="11">
        <f t="shared" si="25"/>
        <v>0</v>
      </c>
      <c r="AE26" s="12">
        <f t="shared" si="22"/>
        <v>0</v>
      </c>
      <c r="AF26" s="13">
        <f t="shared" si="5"/>
        <v>0</v>
      </c>
      <c r="AG26" s="12">
        <f t="shared" si="26"/>
        <v>1412.7959999999998</v>
      </c>
      <c r="AH26" s="12">
        <f t="shared" si="21"/>
        <v>0</v>
      </c>
    </row>
    <row r="27" spans="1:34" ht="15.75" thickBot="1" x14ac:dyDescent="0.3">
      <c r="A27" s="2">
        <v>18</v>
      </c>
      <c r="B27" s="97"/>
      <c r="C27" s="93">
        <v>0</v>
      </c>
      <c r="D27" s="61">
        <f t="shared" si="16"/>
        <v>0</v>
      </c>
      <c r="E27" s="7">
        <f t="shared" si="7"/>
        <v>0</v>
      </c>
      <c r="F27" s="22">
        <v>0.2</v>
      </c>
      <c r="G27" s="20">
        <f t="shared" si="17"/>
        <v>0</v>
      </c>
      <c r="H27" s="23">
        <v>8.9999999999999993E-3</v>
      </c>
      <c r="I27" s="20">
        <f t="shared" si="18"/>
        <v>0</v>
      </c>
      <c r="J27" s="20">
        <f t="shared" si="19"/>
        <v>0</v>
      </c>
      <c r="K27" s="20">
        <f t="shared" si="20"/>
        <v>0</v>
      </c>
      <c r="L27" s="20">
        <f t="shared" si="8"/>
        <v>0</v>
      </c>
      <c r="M27" s="82">
        <v>0.3</v>
      </c>
      <c r="N27" s="20">
        <f t="shared" si="9"/>
        <v>0</v>
      </c>
      <c r="O27" s="20">
        <f t="shared" si="10"/>
        <v>0</v>
      </c>
      <c r="P27" s="20">
        <f t="shared" si="11"/>
        <v>0</v>
      </c>
      <c r="Q27" s="5">
        <v>0.21</v>
      </c>
      <c r="R27" s="20">
        <f t="shared" si="12"/>
        <v>0</v>
      </c>
      <c r="S27" s="102">
        <f t="shared" si="0"/>
        <v>0</v>
      </c>
      <c r="T27" s="103"/>
      <c r="U27" s="20">
        <f t="shared" si="13"/>
        <v>0</v>
      </c>
      <c r="V27" s="83">
        <v>1</v>
      </c>
      <c r="W27" s="24">
        <f t="shared" si="14"/>
        <v>0</v>
      </c>
      <c r="X27" s="8">
        <f t="shared" si="1"/>
        <v>0.42</v>
      </c>
      <c r="Y27" s="8">
        <f t="shared" si="23"/>
        <v>1167.5999999999999</v>
      </c>
      <c r="Z27" s="9">
        <f>C27*Z9</f>
        <v>0</v>
      </c>
      <c r="AA27" s="8">
        <f t="shared" si="24"/>
        <v>1412.7959999999998</v>
      </c>
      <c r="AB27" s="25">
        <f t="shared" si="15"/>
        <v>0</v>
      </c>
      <c r="AC27" s="10">
        <v>1</v>
      </c>
      <c r="AD27" s="11">
        <f t="shared" si="25"/>
        <v>0</v>
      </c>
      <c r="AE27" s="12">
        <f t="shared" si="22"/>
        <v>0</v>
      </c>
      <c r="AF27" s="13">
        <f t="shared" si="5"/>
        <v>0</v>
      </c>
      <c r="AG27" s="12">
        <f t="shared" si="26"/>
        <v>1412.7959999999998</v>
      </c>
      <c r="AH27" s="12">
        <f t="shared" si="21"/>
        <v>0</v>
      </c>
    </row>
    <row r="28" spans="1:34" ht="15.75" thickBot="1" x14ac:dyDescent="0.3">
      <c r="A28" s="2">
        <v>19</v>
      </c>
      <c r="B28" s="152"/>
      <c r="C28" s="81">
        <v>0</v>
      </c>
      <c r="D28" s="61">
        <f t="shared" si="16"/>
        <v>0</v>
      </c>
      <c r="E28" s="7">
        <f t="shared" si="7"/>
        <v>0</v>
      </c>
      <c r="F28" s="22">
        <v>0.2</v>
      </c>
      <c r="G28" s="20">
        <f t="shared" si="17"/>
        <v>0</v>
      </c>
      <c r="H28" s="23">
        <v>8.9999999999999993E-3</v>
      </c>
      <c r="I28" s="20">
        <f t="shared" si="18"/>
        <v>0</v>
      </c>
      <c r="J28" s="20">
        <f t="shared" si="19"/>
        <v>0</v>
      </c>
      <c r="K28" s="20">
        <f t="shared" si="20"/>
        <v>0</v>
      </c>
      <c r="L28" s="20">
        <f t="shared" si="8"/>
        <v>0</v>
      </c>
      <c r="M28" s="82">
        <v>0.3</v>
      </c>
      <c r="N28" s="20">
        <f t="shared" si="9"/>
        <v>0</v>
      </c>
      <c r="O28" s="20">
        <f t="shared" si="10"/>
        <v>0</v>
      </c>
      <c r="P28" s="20">
        <f t="shared" si="11"/>
        <v>0</v>
      </c>
      <c r="Q28" s="5">
        <v>0.21</v>
      </c>
      <c r="R28" s="20">
        <f t="shared" si="12"/>
        <v>0</v>
      </c>
      <c r="S28" s="102">
        <f t="shared" si="0"/>
        <v>0</v>
      </c>
      <c r="T28" s="103"/>
      <c r="U28" s="20">
        <f t="shared" si="13"/>
        <v>0</v>
      </c>
      <c r="V28" s="83">
        <v>1</v>
      </c>
      <c r="W28" s="24">
        <f t="shared" si="14"/>
        <v>0</v>
      </c>
      <c r="X28" s="8">
        <f t="shared" si="1"/>
        <v>0.42</v>
      </c>
      <c r="Y28" s="8">
        <f t="shared" si="23"/>
        <v>1167.5999999999999</v>
      </c>
      <c r="Z28" s="9">
        <f>C28*Z9</f>
        <v>0</v>
      </c>
      <c r="AA28" s="8">
        <f t="shared" si="24"/>
        <v>1412.7959999999998</v>
      </c>
      <c r="AB28" s="25">
        <f t="shared" si="15"/>
        <v>0</v>
      </c>
      <c r="AC28" s="10">
        <v>1</v>
      </c>
      <c r="AD28" s="11">
        <f t="shared" si="25"/>
        <v>0</v>
      </c>
      <c r="AE28" s="12">
        <f t="shared" si="22"/>
        <v>0</v>
      </c>
      <c r="AF28" s="13">
        <f t="shared" si="5"/>
        <v>0</v>
      </c>
      <c r="AG28" s="12">
        <f t="shared" si="26"/>
        <v>1412.7959999999998</v>
      </c>
      <c r="AH28" s="12">
        <f t="shared" si="21"/>
        <v>0</v>
      </c>
    </row>
    <row r="29" spans="1:34" ht="15.75" thickBot="1" x14ac:dyDescent="0.3">
      <c r="A29" s="2">
        <v>20</v>
      </c>
      <c r="B29" s="97"/>
      <c r="C29" s="81">
        <v>0</v>
      </c>
      <c r="D29" s="61">
        <f t="shared" si="16"/>
        <v>0</v>
      </c>
      <c r="E29" s="7">
        <f t="shared" si="7"/>
        <v>0</v>
      </c>
      <c r="F29" s="22">
        <v>0.2</v>
      </c>
      <c r="G29" s="20">
        <f t="shared" si="17"/>
        <v>0</v>
      </c>
      <c r="H29" s="23">
        <v>8.9999999999999993E-3</v>
      </c>
      <c r="I29" s="20">
        <f t="shared" si="18"/>
        <v>0</v>
      </c>
      <c r="J29" s="20">
        <f t="shared" si="19"/>
        <v>0</v>
      </c>
      <c r="K29" s="20">
        <f t="shared" si="20"/>
        <v>0</v>
      </c>
      <c r="L29" s="20">
        <f t="shared" si="8"/>
        <v>0</v>
      </c>
      <c r="M29" s="82">
        <v>0.3</v>
      </c>
      <c r="N29" s="20">
        <f t="shared" si="9"/>
        <v>0</v>
      </c>
      <c r="O29" s="20">
        <f t="shared" si="10"/>
        <v>0</v>
      </c>
      <c r="P29" s="20">
        <f t="shared" si="11"/>
        <v>0</v>
      </c>
      <c r="Q29" s="5">
        <v>0.21</v>
      </c>
      <c r="R29" s="20">
        <f t="shared" si="12"/>
        <v>0</v>
      </c>
      <c r="S29" s="102">
        <f t="shared" si="0"/>
        <v>0</v>
      </c>
      <c r="T29" s="103"/>
      <c r="U29" s="20">
        <f t="shared" si="13"/>
        <v>0</v>
      </c>
      <c r="V29" s="83">
        <v>1</v>
      </c>
      <c r="W29" s="24">
        <f t="shared" si="14"/>
        <v>0</v>
      </c>
      <c r="X29" s="8">
        <f t="shared" si="1"/>
        <v>0.42</v>
      </c>
      <c r="Y29" s="8">
        <f t="shared" si="23"/>
        <v>1167.5999999999999</v>
      </c>
      <c r="Z29" s="9">
        <f>C29*Z9</f>
        <v>0</v>
      </c>
      <c r="AA29" s="8">
        <f t="shared" si="24"/>
        <v>1412.7959999999998</v>
      </c>
      <c r="AB29" s="25">
        <f t="shared" si="15"/>
        <v>0</v>
      </c>
      <c r="AC29" s="10">
        <v>1</v>
      </c>
      <c r="AD29" s="11">
        <f t="shared" si="25"/>
        <v>0</v>
      </c>
      <c r="AE29" s="12"/>
      <c r="AF29" s="13">
        <f t="shared" si="5"/>
        <v>0</v>
      </c>
      <c r="AG29" s="12">
        <f t="shared" si="26"/>
        <v>1412.7959999999998</v>
      </c>
      <c r="AH29" s="12">
        <f t="shared" si="21"/>
        <v>0</v>
      </c>
    </row>
    <row r="30" spans="1:34" x14ac:dyDescent="0.25">
      <c r="A30" s="2">
        <v>21</v>
      </c>
      <c r="B30" s="97"/>
      <c r="C30" s="81">
        <v>0</v>
      </c>
      <c r="D30" s="61">
        <f t="shared" si="16"/>
        <v>0</v>
      </c>
      <c r="E30" s="7">
        <f t="shared" si="7"/>
        <v>0</v>
      </c>
      <c r="F30" s="22">
        <v>0.2</v>
      </c>
      <c r="G30" s="20">
        <f t="shared" si="17"/>
        <v>0</v>
      </c>
      <c r="H30" s="23">
        <v>8.9999999999999993E-3</v>
      </c>
      <c r="I30" s="20">
        <f t="shared" si="18"/>
        <v>0</v>
      </c>
      <c r="J30" s="20">
        <f t="shared" si="19"/>
        <v>0</v>
      </c>
      <c r="K30" s="20">
        <f t="shared" si="20"/>
        <v>0</v>
      </c>
      <c r="L30" s="20">
        <f t="shared" si="8"/>
        <v>0</v>
      </c>
      <c r="M30" s="82">
        <v>0.3</v>
      </c>
      <c r="N30" s="20">
        <f t="shared" si="9"/>
        <v>0</v>
      </c>
      <c r="O30" s="20">
        <f t="shared" si="10"/>
        <v>0</v>
      </c>
      <c r="P30" s="20">
        <f t="shared" si="11"/>
        <v>0</v>
      </c>
      <c r="Q30" s="5">
        <v>0.21</v>
      </c>
      <c r="R30" s="20">
        <f t="shared" si="12"/>
        <v>0</v>
      </c>
      <c r="S30" s="102">
        <f t="shared" si="0"/>
        <v>0</v>
      </c>
      <c r="T30" s="103"/>
      <c r="U30" s="20">
        <f t="shared" si="13"/>
        <v>0</v>
      </c>
      <c r="V30" s="83">
        <v>1</v>
      </c>
      <c r="W30" s="24">
        <f t="shared" si="14"/>
        <v>0</v>
      </c>
      <c r="X30" s="8">
        <f t="shared" si="1"/>
        <v>0.42</v>
      </c>
      <c r="Y30" s="8">
        <f>+X30*2780</f>
        <v>1167.5999999999999</v>
      </c>
      <c r="Z30" s="9">
        <f>C30*Z9</f>
        <v>0</v>
      </c>
      <c r="AA30" s="8">
        <f>+(Y30+Z30)*1.21</f>
        <v>1412.7959999999998</v>
      </c>
      <c r="AB30" s="25">
        <f t="shared" si="15"/>
        <v>0</v>
      </c>
      <c r="AC30" s="10">
        <v>1</v>
      </c>
      <c r="AD30" s="11">
        <f>+AB30*AC30</f>
        <v>0</v>
      </c>
      <c r="AE30" s="12">
        <f>+N30*V30</f>
        <v>0</v>
      </c>
      <c r="AF30" s="13">
        <f t="shared" si="5"/>
        <v>0</v>
      </c>
      <c r="AG30" s="12">
        <f>+AA30*AC30</f>
        <v>1412.7959999999998</v>
      </c>
      <c r="AH30" s="12">
        <f t="shared" si="21"/>
        <v>0</v>
      </c>
    </row>
    <row r="31" spans="1:34" s="46" customFormat="1" ht="18" customHeight="1" x14ac:dyDescent="0.25">
      <c r="C31" s="47">
        <f>SUM(C10:C30)</f>
        <v>0</v>
      </c>
      <c r="D31" s="63">
        <f>SUM(D10:D30)</f>
        <v>0</v>
      </c>
      <c r="E31" s="63">
        <f>SUM(E10:E30)</f>
        <v>0</v>
      </c>
      <c r="J31" s="62">
        <f>SUM(J10:J30)</f>
        <v>0</v>
      </c>
      <c r="K31" s="63">
        <f>SUM(K10:K30)</f>
        <v>0</v>
      </c>
      <c r="L31" s="47">
        <f>SUM(L10:L30)</f>
        <v>0</v>
      </c>
      <c r="M31" s="49"/>
      <c r="N31" s="47">
        <f>SUM(N10:N30)</f>
        <v>0</v>
      </c>
      <c r="O31" s="47">
        <f>SUM(O10:O30)</f>
        <v>0</v>
      </c>
      <c r="P31" s="47">
        <f>SUM(P10:P30)</f>
        <v>0</v>
      </c>
      <c r="R31" s="72">
        <f>SUM(R10:R30)</f>
        <v>0</v>
      </c>
      <c r="S31" s="104">
        <f>W32*0.035</f>
        <v>0</v>
      </c>
      <c r="T31" s="105"/>
      <c r="U31" s="47">
        <f>SUM(U10:U30)</f>
        <v>0</v>
      </c>
      <c r="AE31" s="48">
        <f>SUM(AE10:AE30)</f>
        <v>0</v>
      </c>
    </row>
    <row r="32" spans="1:34" x14ac:dyDescent="0.25">
      <c r="O32" s="50"/>
      <c r="Q32" s="31" t="s">
        <v>56</v>
      </c>
      <c r="R32" s="71">
        <f>R31*V33</f>
        <v>0</v>
      </c>
      <c r="S32" s="106">
        <f>S31*V33</f>
        <v>0</v>
      </c>
      <c r="T32" s="106"/>
      <c r="V32" s="31" t="s">
        <v>47</v>
      </c>
      <c r="W32" s="67">
        <f>SUM(W10:W30)</f>
        <v>0</v>
      </c>
      <c r="X32" s="14"/>
      <c r="Y32" s="14"/>
      <c r="Z32" s="14"/>
      <c r="AA32" s="14"/>
      <c r="AB32" s="14"/>
      <c r="AC32" s="14"/>
      <c r="AD32" s="14"/>
      <c r="AE32" s="15"/>
    </row>
    <row r="33" spans="3:31" x14ac:dyDescent="0.25">
      <c r="M33" s="76"/>
      <c r="N33" s="31" t="s">
        <v>46</v>
      </c>
      <c r="P33" s="31" t="s">
        <v>46</v>
      </c>
      <c r="U33" s="31" t="s">
        <v>45</v>
      </c>
      <c r="V33" s="33">
        <v>0.1</v>
      </c>
      <c r="W33" s="32">
        <f>W32*V33</f>
        <v>0</v>
      </c>
      <c r="X33" s="14"/>
      <c r="Y33" s="14"/>
      <c r="Z33" s="14"/>
      <c r="AA33" s="14"/>
      <c r="AB33" s="14"/>
      <c r="AC33" s="14"/>
      <c r="AD33" s="14"/>
    </row>
    <row r="34" spans="3:31" x14ac:dyDescent="0.25">
      <c r="C34" s="1" t="s">
        <v>26</v>
      </c>
      <c r="D34" s="4">
        <f>D31</f>
        <v>0</v>
      </c>
      <c r="G34" s="1" t="s">
        <v>49</v>
      </c>
      <c r="H34" s="4">
        <f>R31</f>
        <v>0</v>
      </c>
      <c r="J34" s="66" t="s">
        <v>31</v>
      </c>
      <c r="K34" s="67">
        <f>W32</f>
        <v>0</v>
      </c>
      <c r="M34" s="77" t="s">
        <v>31</v>
      </c>
      <c r="N34" s="50">
        <f>W34</f>
        <v>0</v>
      </c>
      <c r="P34" s="2" t="s">
        <v>54</v>
      </c>
      <c r="Q34" s="71">
        <f>+W34*0.21</f>
        <v>0</v>
      </c>
      <c r="V34" s="31" t="s">
        <v>46</v>
      </c>
      <c r="W34" s="34">
        <f>W32-W33</f>
        <v>0</v>
      </c>
      <c r="X34" s="14"/>
      <c r="Y34" s="14"/>
      <c r="Z34" s="14"/>
      <c r="AA34" s="14"/>
      <c r="AB34" s="14"/>
      <c r="AC34" s="14"/>
      <c r="AD34" s="14"/>
      <c r="AE34" s="14"/>
    </row>
    <row r="35" spans="3:31" x14ac:dyDescent="0.25">
      <c r="C35" s="69" t="s">
        <v>27</v>
      </c>
      <c r="D35" s="70">
        <f>N31</f>
        <v>0</v>
      </c>
      <c r="G35" s="16" t="s">
        <v>20</v>
      </c>
      <c r="H35" s="17">
        <f>+E31+J31</f>
        <v>0</v>
      </c>
      <c r="J35" s="65" t="s">
        <v>30</v>
      </c>
      <c r="K35" s="17">
        <f>D31+E31+S31+K31+H36</f>
        <v>0</v>
      </c>
      <c r="L35" s="50"/>
      <c r="M35" s="78" t="s">
        <v>30</v>
      </c>
      <c r="N35" s="50">
        <f>K35-R32-S32</f>
        <v>0</v>
      </c>
      <c r="O35" s="50"/>
      <c r="P35" s="2" t="s">
        <v>55</v>
      </c>
      <c r="Q35" s="71">
        <f>+W34*0.035</f>
        <v>0</v>
      </c>
      <c r="W35" s="4"/>
      <c r="X35" s="14"/>
      <c r="Y35" s="14"/>
      <c r="Z35" s="14"/>
      <c r="AA35" s="14"/>
      <c r="AB35" s="14"/>
      <c r="AC35" s="14"/>
      <c r="AD35" s="14"/>
      <c r="AE35" s="14"/>
    </row>
    <row r="36" spans="3:31" ht="16.5" customHeight="1" thickBot="1" x14ac:dyDescent="0.3">
      <c r="C36" s="1" t="s">
        <v>22</v>
      </c>
      <c r="D36" s="84">
        <f>K31</f>
        <v>0</v>
      </c>
      <c r="G36" s="54" t="s">
        <v>50</v>
      </c>
      <c r="H36" s="64">
        <f>+H34-H35</f>
        <v>0</v>
      </c>
      <c r="I36" s="51"/>
      <c r="J36" s="53" t="s">
        <v>32</v>
      </c>
      <c r="K36" s="52">
        <f>K34-K35</f>
        <v>0</v>
      </c>
      <c r="M36" s="79" t="s">
        <v>32</v>
      </c>
      <c r="N36" s="52">
        <f>N34-N35</f>
        <v>0</v>
      </c>
      <c r="W36" s="4"/>
      <c r="X36" s="14"/>
      <c r="Y36" s="14"/>
      <c r="Z36" s="14"/>
      <c r="AA36" s="14"/>
      <c r="AB36" s="14"/>
      <c r="AC36" s="14"/>
      <c r="AD36" s="14"/>
      <c r="AE36" s="14"/>
    </row>
    <row r="37" spans="3:31" ht="15.75" thickTop="1" x14ac:dyDescent="0.25">
      <c r="C37" s="16" t="s">
        <v>24</v>
      </c>
      <c r="D37" s="17">
        <f>S31</f>
        <v>0</v>
      </c>
      <c r="J37" t="s">
        <v>33</v>
      </c>
      <c r="K37" s="6" t="e">
        <f>K36/K35</f>
        <v>#DIV/0!</v>
      </c>
      <c r="M37" s="80" t="s">
        <v>33</v>
      </c>
      <c r="N37" s="6" t="e">
        <f>N36/N35</f>
        <v>#DIV/0!</v>
      </c>
      <c r="P37" s="1" t="s">
        <v>49</v>
      </c>
      <c r="Q37" s="50">
        <f>Q34</f>
        <v>0</v>
      </c>
      <c r="W37" s="4"/>
      <c r="X37" s="14"/>
      <c r="Y37" s="14"/>
      <c r="Z37" s="14"/>
      <c r="AA37" s="14"/>
      <c r="AB37" s="14"/>
      <c r="AC37" s="14"/>
      <c r="AD37" s="14"/>
      <c r="AE37" s="14"/>
    </row>
    <row r="38" spans="3:31" x14ac:dyDescent="0.25">
      <c r="C38" s="1" t="s">
        <v>25</v>
      </c>
      <c r="D38" s="4">
        <f>SUM(D34:D37)</f>
        <v>0</v>
      </c>
      <c r="J38" s="19"/>
      <c r="M38" s="76"/>
      <c r="P38" s="16" t="s">
        <v>20</v>
      </c>
      <c r="Q38" s="73">
        <f>H35</f>
        <v>0</v>
      </c>
    </row>
    <row r="39" spans="3:31" ht="15.75" thickBot="1" x14ac:dyDescent="0.3">
      <c r="C39" s="16" t="s">
        <v>49</v>
      </c>
      <c r="D39" s="17">
        <f>R31</f>
        <v>0</v>
      </c>
      <c r="G39" s="50">
        <f>H36/0.21</f>
        <v>0</v>
      </c>
      <c r="J39" t="s">
        <v>44</v>
      </c>
      <c r="K39" s="6" t="e">
        <f>(K34-D38)/D38</f>
        <v>#DIV/0!</v>
      </c>
      <c r="M39" s="76"/>
      <c r="P39" s="54" t="s">
        <v>50</v>
      </c>
      <c r="Q39" s="55">
        <f>+Q37-Q38</f>
        <v>0</v>
      </c>
    </row>
    <row r="40" spans="3:31" ht="16.5" thickTop="1" thickBot="1" x14ac:dyDescent="0.3">
      <c r="C40" s="56" t="s">
        <v>29</v>
      </c>
      <c r="D40" s="68">
        <f>SUM(D38:D39)</f>
        <v>0</v>
      </c>
      <c r="J40" t="s">
        <v>51</v>
      </c>
      <c r="K40" s="35" t="e">
        <f>K36/(K35)</f>
        <v>#DIV/0!</v>
      </c>
      <c r="M40" s="76"/>
    </row>
    <row r="41" spans="3:31" ht="20.25" customHeight="1" thickTop="1" x14ac:dyDescent="0.25">
      <c r="M41" s="76"/>
    </row>
    <row r="42" spans="3:31" x14ac:dyDescent="0.25">
      <c r="M42" s="76"/>
    </row>
    <row r="43" spans="3:31" x14ac:dyDescent="0.25">
      <c r="E43" s="19"/>
      <c r="J43" s="30"/>
      <c r="M43" s="76"/>
    </row>
    <row r="44" spans="3:31" x14ac:dyDescent="0.25">
      <c r="C44" s="19" t="s">
        <v>35</v>
      </c>
      <c r="D44" s="19"/>
      <c r="M44" s="76"/>
    </row>
    <row r="45" spans="3:31" x14ac:dyDescent="0.25">
      <c r="M45" s="76"/>
    </row>
    <row r="46" spans="3:31" x14ac:dyDescent="0.25">
      <c r="M46" s="76"/>
    </row>
    <row r="47" spans="3:31" x14ac:dyDescent="0.25">
      <c r="M47" s="76"/>
    </row>
    <row r="48" spans="3:31" x14ac:dyDescent="0.25">
      <c r="M48" s="76"/>
    </row>
    <row r="49" spans="13:13" x14ac:dyDescent="0.25">
      <c r="M49" s="76"/>
    </row>
    <row r="50" spans="13:13" x14ac:dyDescent="0.25">
      <c r="M50" s="76"/>
    </row>
    <row r="51" spans="13:13" x14ac:dyDescent="0.25">
      <c r="M51" s="76"/>
    </row>
    <row r="52" spans="13:13" x14ac:dyDescent="0.25">
      <c r="M52" s="76"/>
    </row>
  </sheetData>
  <mergeCells count="58">
    <mergeCell ref="M8:M9"/>
    <mergeCell ref="N8:N9"/>
    <mergeCell ref="A7:A9"/>
    <mergeCell ref="B7:B9"/>
    <mergeCell ref="C7:E7"/>
    <mergeCell ref="F7:K7"/>
    <mergeCell ref="L7:L9"/>
    <mergeCell ref="K8:K9"/>
    <mergeCell ref="I8:I9"/>
    <mergeCell ref="M7:N7"/>
    <mergeCell ref="C8:C9"/>
    <mergeCell ref="D8:D9"/>
    <mergeCell ref="F8:F9"/>
    <mergeCell ref="G8:G9"/>
    <mergeCell ref="H8:H9"/>
    <mergeCell ref="X7:X9"/>
    <mergeCell ref="O8:P8"/>
    <mergeCell ref="Q8:Q9"/>
    <mergeCell ref="R8:R9"/>
    <mergeCell ref="S8:T8"/>
    <mergeCell ref="O7:P7"/>
    <mergeCell ref="Q7:R7"/>
    <mergeCell ref="U7:U9"/>
    <mergeCell ref="V7:V9"/>
    <mergeCell ref="W7:W9"/>
    <mergeCell ref="S15:T15"/>
    <mergeCell ref="AE7:AE9"/>
    <mergeCell ref="AF7:AF9"/>
    <mergeCell ref="AG7:AG9"/>
    <mergeCell ref="AH7:AH9"/>
    <mergeCell ref="AC7:AC9"/>
    <mergeCell ref="AD7:AD9"/>
    <mergeCell ref="S10:T10"/>
    <mergeCell ref="S11:T11"/>
    <mergeCell ref="S12:T12"/>
    <mergeCell ref="S13:T13"/>
    <mergeCell ref="S14:T14"/>
    <mergeCell ref="Y7:Y9"/>
    <mergeCell ref="Z7:Z8"/>
    <mergeCell ref="AA7:AA9"/>
    <mergeCell ref="AB7:AB9"/>
    <mergeCell ref="S27:T27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8:T28"/>
    <mergeCell ref="S29:T29"/>
    <mergeCell ref="S30:T30"/>
    <mergeCell ref="S31:T31"/>
    <mergeCell ref="S32:T3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Presentacion</vt:lpstr>
      <vt:lpstr>FACTURA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rosapuertas01@gmail.com</cp:lastModifiedBy>
  <dcterms:created xsi:type="dcterms:W3CDTF">2022-02-22T22:23:41Z</dcterms:created>
  <dcterms:modified xsi:type="dcterms:W3CDTF">2026-02-10T21:23:46Z</dcterms:modified>
</cp:coreProperties>
</file>